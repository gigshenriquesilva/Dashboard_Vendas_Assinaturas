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D9CCDB13-9421-4796-B4E4-BED32A1879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B̳ases" sheetId="2" r:id="rId2"/>
  </sheets>
  <definedNames>
    <definedName name="_xlnm.Print_Area" localSheetId="0">Dashboard!$A$1:$S$59</definedName>
    <definedName name="b_Cupom">Tabela1[Coupon Value]</definedName>
    <definedName name="b_EAPreco">B̳ases!$I$2:$I$296</definedName>
    <definedName name="b_ID">Tabela1[Subscriber ID]</definedName>
    <definedName name="b_Inicio">Tabela1[Start Date]</definedName>
    <definedName name="b_MCPreco">B̳ases!$K$2:$K$296</definedName>
    <definedName name="b_Plano">Tabela1[Plan]</definedName>
    <definedName name="b_PrecoPlano">Tabela1[Subscription Price]</definedName>
    <definedName name="b_Renov">Tabela1[Auto Renewal]</definedName>
    <definedName name="b_Tipo">Tabela1[Subscription Type]</definedName>
    <definedName name="b_Total">Tabela1[Total Value]</definedName>
    <definedName name="m_Annual">Dashboard!$C$21</definedName>
    <definedName name="m_Monthly">Dashboard!$C$19</definedName>
    <definedName name="m_Quarterly">Dashboard!$C$20</definedName>
    <definedName name="p_From">Dashboard!$C$23</definedName>
    <definedName name="p_Month1">Dashboard!$C$24</definedName>
    <definedName name="ref_Date">Dashboard!$C$22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 s="1"/>
  <c r="C22" i="1"/>
  <c r="BM21" i="1"/>
  <c r="BJ21" i="1"/>
  <c r="BI21" i="1"/>
  <c r="BH21" i="1"/>
  <c r="BG21" i="1"/>
  <c r="BE21" i="1"/>
  <c r="BD21" i="1"/>
  <c r="BC21" i="1"/>
  <c r="AW21" i="1"/>
  <c r="AT21" i="1"/>
  <c r="AS21" i="1"/>
  <c r="AR21" i="1"/>
  <c r="AQ21" i="1"/>
  <c r="AO21" i="1"/>
  <c r="AN21" i="1"/>
  <c r="AM21" i="1"/>
  <c r="AG21" i="1"/>
  <c r="AD21" i="1"/>
  <c r="AC21" i="1"/>
  <c r="AB21" i="1"/>
  <c r="AA21" i="1"/>
  <c r="Y21" i="1"/>
  <c r="X21" i="1"/>
  <c r="W21" i="1"/>
  <c r="S21" i="1"/>
  <c r="R21" i="1"/>
  <c r="Q21" i="1"/>
  <c r="P21" i="1"/>
  <c r="N21" i="1"/>
  <c r="M21" i="1"/>
  <c r="L21" i="1"/>
  <c r="K21" i="1"/>
  <c r="I21" i="1"/>
  <c r="H21" i="1"/>
  <c r="G21" i="1"/>
  <c r="BM20" i="1"/>
  <c r="BJ20" i="1"/>
  <c r="BI20" i="1"/>
  <c r="BH20" i="1"/>
  <c r="BG20" i="1"/>
  <c r="BE20" i="1"/>
  <c r="BD20" i="1"/>
  <c r="BC20" i="1"/>
  <c r="AW20" i="1"/>
  <c r="AT20" i="1"/>
  <c r="AS20" i="1"/>
  <c r="AR20" i="1"/>
  <c r="AQ20" i="1"/>
  <c r="AO20" i="1"/>
  <c r="AN20" i="1"/>
  <c r="AM20" i="1"/>
  <c r="AG20" i="1"/>
  <c r="AD20" i="1"/>
  <c r="AC20" i="1"/>
  <c r="AB20" i="1"/>
  <c r="AA20" i="1"/>
  <c r="Y20" i="1"/>
  <c r="X20" i="1"/>
  <c r="W20" i="1"/>
  <c r="S20" i="1"/>
  <c r="R20" i="1"/>
  <c r="Q20" i="1"/>
  <c r="P20" i="1"/>
  <c r="N20" i="1"/>
  <c r="M20" i="1"/>
  <c r="L20" i="1"/>
  <c r="K20" i="1"/>
  <c r="I20" i="1"/>
  <c r="H20" i="1"/>
  <c r="G20" i="1"/>
  <c r="BI16" i="1"/>
  <c r="AS16" i="1"/>
  <c r="AC16" i="1"/>
  <c r="M16" i="1"/>
  <c r="BI15" i="1"/>
  <c r="AS15" i="1"/>
  <c r="AC15" i="1"/>
  <c r="M15" i="1"/>
  <c r="BF13" i="1"/>
  <c r="AP13" i="1"/>
  <c r="Z13" i="1"/>
  <c r="J13" i="1"/>
  <c r="BM6" i="1"/>
  <c r="BD6" i="1"/>
  <c r="BA6" i="1"/>
  <c r="AW6" i="1"/>
  <c r="AN6" i="1"/>
  <c r="AK6" i="1"/>
  <c r="AG6" i="1"/>
  <c r="X6" i="1"/>
  <c r="U6" i="1"/>
  <c r="Q6" i="1"/>
  <c r="H6" i="1"/>
  <c r="E6" i="1"/>
  <c r="BL3" i="1"/>
  <c r="BA8" i="1" s="1"/>
  <c r="BF3" i="1"/>
  <c r="BC3" i="1"/>
  <c r="AV3" i="1"/>
  <c r="AK8" i="1" s="1"/>
  <c r="AP3" i="1"/>
  <c r="AM3" i="1"/>
  <c r="AF3" i="1"/>
  <c r="U8" i="1" s="1"/>
  <c r="Z3" i="1"/>
  <c r="W3" i="1"/>
  <c r="P3" i="1"/>
  <c r="E8" i="1" s="1"/>
  <c r="J3" i="1"/>
  <c r="G3" i="1"/>
  <c r="AH20" i="1" l="1"/>
  <c r="AX20" i="1"/>
  <c r="BN20" i="1"/>
  <c r="G24" i="1"/>
  <c r="G23" i="1"/>
  <c r="N6" i="1" s="1"/>
  <c r="G22" i="1"/>
  <c r="K6" i="1" s="1"/>
  <c r="H24" i="1"/>
  <c r="H23" i="1"/>
  <c r="H22" i="1"/>
  <c r="I24" i="1"/>
  <c r="I23" i="1"/>
  <c r="I22" i="1"/>
  <c r="W24" i="1"/>
  <c r="W23" i="1"/>
  <c r="AD6" i="1" s="1"/>
  <c r="W22" i="1"/>
  <c r="AA6" i="1" s="1"/>
  <c r="X24" i="1"/>
  <c r="X23" i="1"/>
  <c r="X22" i="1"/>
  <c r="Y24" i="1"/>
  <c r="Y23" i="1"/>
  <c r="Y22" i="1"/>
  <c r="AH21" i="1"/>
  <c r="AM24" i="1"/>
  <c r="AM23" i="1"/>
  <c r="AT6" i="1" s="1"/>
  <c r="AM22" i="1"/>
  <c r="AQ6" i="1" s="1"/>
  <c r="AN24" i="1"/>
  <c r="AN23" i="1"/>
  <c r="AN22" i="1"/>
  <c r="AO24" i="1"/>
  <c r="AO23" i="1"/>
  <c r="AO22" i="1"/>
  <c r="AX21" i="1"/>
  <c r="BC24" i="1"/>
  <c r="BC23" i="1"/>
  <c r="BJ6" i="1" s="1"/>
  <c r="BC22" i="1"/>
  <c r="BG6" i="1" s="1"/>
  <c r="BD24" i="1"/>
  <c r="BD23" i="1"/>
  <c r="BD22" i="1"/>
  <c r="BE24" i="1"/>
  <c r="BE23" i="1"/>
  <c r="BE22" i="1"/>
  <c r="BN21" i="1"/>
  <c r="BM23" i="1"/>
  <c r="AW23" i="1"/>
  <c r="AG23" i="1"/>
  <c r="BM22" i="1"/>
  <c r="BJ22" i="1"/>
  <c r="BJ23" i="1" s="1"/>
  <c r="BI22" i="1"/>
  <c r="BI23" i="1" s="1"/>
  <c r="BH22" i="1"/>
  <c r="BG22" i="1"/>
  <c r="BG23" i="1" s="1"/>
  <c r="AW22" i="1"/>
  <c r="AT22" i="1"/>
  <c r="AT23" i="1" s="1"/>
  <c r="AS22" i="1"/>
  <c r="AS23" i="1" s="1"/>
  <c r="AR22" i="1"/>
  <c r="AQ22" i="1"/>
  <c r="AQ23" i="1" s="1"/>
  <c r="AG22" i="1"/>
  <c r="AD22" i="1"/>
  <c r="AD23" i="1" s="1"/>
  <c r="AC22" i="1"/>
  <c r="AC23" i="1" s="1"/>
  <c r="AB22" i="1"/>
  <c r="AA22" i="1"/>
  <c r="AA23" i="1" s="1"/>
  <c r="S22" i="1"/>
  <c r="S23" i="1" s="1"/>
  <c r="R22" i="1"/>
  <c r="R23" i="1" s="1"/>
  <c r="Q22" i="1"/>
  <c r="Q23" i="1" s="1"/>
  <c r="P22" i="1"/>
  <c r="P23" i="1" s="1"/>
  <c r="N22" i="1"/>
  <c r="N23" i="1" s="1"/>
  <c r="M22" i="1"/>
  <c r="M23" i="1" s="1"/>
  <c r="L22" i="1"/>
  <c r="K22" i="1"/>
  <c r="K23" i="1" s="1"/>
  <c r="BA45" i="1"/>
  <c r="AK45" i="1"/>
  <c r="U45" i="1"/>
  <c r="E45" i="1"/>
  <c r="O49" i="1" l="1"/>
  <c r="E46" i="1"/>
  <c r="F45" i="1"/>
  <c r="AE49" i="1"/>
  <c r="U46" i="1"/>
  <c r="V45" i="1"/>
  <c r="AU49" i="1"/>
  <c r="AK46" i="1"/>
  <c r="AL45" i="1"/>
  <c r="BK49" i="1"/>
  <c r="BA46" i="1"/>
  <c r="BB45" i="1"/>
  <c r="H16" i="1"/>
  <c r="E13" i="1"/>
  <c r="L23" i="1"/>
  <c r="H15" i="1" s="1"/>
  <c r="X16" i="1"/>
  <c r="U13" i="1"/>
  <c r="AB23" i="1"/>
  <c r="X15" i="1" s="1"/>
  <c r="AH22" i="1"/>
  <c r="AG24" i="1"/>
  <c r="AN16" i="1"/>
  <c r="AK13" i="1"/>
  <c r="AR23" i="1"/>
  <c r="AN15" i="1" s="1"/>
  <c r="AX22" i="1"/>
  <c r="AW24" i="1"/>
  <c r="BD16" i="1"/>
  <c r="BA13" i="1"/>
  <c r="BH23" i="1"/>
  <c r="BD15" i="1" s="1"/>
  <c r="BN22" i="1"/>
  <c r="BM24" i="1"/>
  <c r="AI23" i="1"/>
  <c r="AH23" i="1"/>
  <c r="AY23" i="1"/>
  <c r="AX23" i="1"/>
  <c r="BO23" i="1"/>
  <c r="BN23" i="1"/>
  <c r="BO24" i="1" l="1"/>
  <c r="BN24" i="1"/>
  <c r="BO20" i="1"/>
  <c r="BO21" i="1"/>
  <c r="BO22" i="1"/>
  <c r="AY24" i="1"/>
  <c r="AX24" i="1"/>
  <c r="AY20" i="1"/>
  <c r="AY21" i="1"/>
  <c r="AY22" i="1"/>
  <c r="AI24" i="1"/>
  <c r="AH24" i="1"/>
  <c r="AI20" i="1"/>
  <c r="AI21" i="1"/>
  <c r="AI22" i="1"/>
  <c r="BG45" i="1"/>
  <c r="BE45" i="1"/>
  <c r="BD45" i="1"/>
  <c r="BC45" i="1"/>
  <c r="BF45" i="1" s="1"/>
  <c r="BH45" i="1"/>
  <c r="BA47" i="1"/>
  <c r="BB46" i="1"/>
  <c r="AQ45" i="1"/>
  <c r="AO45" i="1"/>
  <c r="AN45" i="1"/>
  <c r="AM45" i="1"/>
  <c r="AP45" i="1" s="1"/>
  <c r="AR45" i="1"/>
  <c r="AK47" i="1"/>
  <c r="AL46" i="1"/>
  <c r="AA45" i="1"/>
  <c r="Y45" i="1"/>
  <c r="X45" i="1"/>
  <c r="W45" i="1"/>
  <c r="Z45" i="1" s="1"/>
  <c r="AB45" i="1"/>
  <c r="U47" i="1"/>
  <c r="V46" i="1"/>
  <c r="K45" i="1"/>
  <c r="I45" i="1"/>
  <c r="H45" i="1"/>
  <c r="G45" i="1"/>
  <c r="J45" i="1" s="1"/>
  <c r="L45" i="1"/>
  <c r="E47" i="1"/>
  <c r="F46" i="1"/>
  <c r="K46" i="1" l="1"/>
  <c r="I46" i="1"/>
  <c r="H46" i="1"/>
  <c r="G46" i="1"/>
  <c r="L46" i="1"/>
  <c r="E48" i="1"/>
  <c r="F47" i="1"/>
  <c r="O45" i="1"/>
  <c r="AA46" i="1"/>
  <c r="Y46" i="1"/>
  <c r="X46" i="1"/>
  <c r="W46" i="1"/>
  <c r="AB46" i="1"/>
  <c r="U48" i="1"/>
  <c r="V47" i="1"/>
  <c r="AE45" i="1"/>
  <c r="AQ46" i="1"/>
  <c r="AO46" i="1"/>
  <c r="AN46" i="1"/>
  <c r="AM46" i="1"/>
  <c r="AR46" i="1"/>
  <c r="AK48" i="1"/>
  <c r="AL47" i="1"/>
  <c r="AU45" i="1"/>
  <c r="BG46" i="1"/>
  <c r="BE46" i="1"/>
  <c r="BD46" i="1"/>
  <c r="BC46" i="1"/>
  <c r="BH46" i="1"/>
  <c r="BA48" i="1"/>
  <c r="BB47" i="1"/>
  <c r="BK45" i="1"/>
  <c r="BG47" i="1" l="1"/>
  <c r="BN45" i="1" s="1"/>
  <c r="BE47" i="1"/>
  <c r="BD47" i="1"/>
  <c r="BC47" i="1"/>
  <c r="BH47" i="1"/>
  <c r="BA49" i="1"/>
  <c r="BB48" i="1"/>
  <c r="BI46" i="1"/>
  <c r="BF46" i="1"/>
  <c r="AQ47" i="1"/>
  <c r="AX45" i="1" s="1"/>
  <c r="AO47" i="1"/>
  <c r="AN47" i="1"/>
  <c r="AM47" i="1"/>
  <c r="AR47" i="1"/>
  <c r="AK49" i="1"/>
  <c r="AL48" i="1"/>
  <c r="AS46" i="1"/>
  <c r="AP46" i="1"/>
  <c r="AA47" i="1"/>
  <c r="AH45" i="1" s="1"/>
  <c r="Y47" i="1"/>
  <c r="X47" i="1"/>
  <c r="W47" i="1"/>
  <c r="AB47" i="1"/>
  <c r="U49" i="1"/>
  <c r="V48" i="1"/>
  <c r="AC46" i="1"/>
  <c r="Z46" i="1"/>
  <c r="K47" i="1"/>
  <c r="R45" i="1" s="1"/>
  <c r="I47" i="1"/>
  <c r="H47" i="1"/>
  <c r="G47" i="1"/>
  <c r="L47" i="1"/>
  <c r="E49" i="1"/>
  <c r="F48" i="1"/>
  <c r="M46" i="1"/>
  <c r="J46" i="1"/>
  <c r="K48" i="1" l="1"/>
  <c r="I48" i="1"/>
  <c r="H48" i="1"/>
  <c r="G48" i="1"/>
  <c r="L48" i="1"/>
  <c r="E50" i="1"/>
  <c r="F49" i="1"/>
  <c r="S45" i="1"/>
  <c r="M47" i="1"/>
  <c r="J47" i="1"/>
  <c r="Q45" i="1" s="1"/>
  <c r="P45" i="1"/>
  <c r="AA48" i="1"/>
  <c r="Y48" i="1"/>
  <c r="X48" i="1"/>
  <c r="W48" i="1"/>
  <c r="AB48" i="1"/>
  <c r="U50" i="1"/>
  <c r="V49" i="1"/>
  <c r="AI45" i="1"/>
  <c r="AC47" i="1"/>
  <c r="Z47" i="1"/>
  <c r="AG45" i="1" s="1"/>
  <c r="AF45" i="1"/>
  <c r="AQ48" i="1"/>
  <c r="AO48" i="1"/>
  <c r="AN48" i="1"/>
  <c r="AM48" i="1"/>
  <c r="AR48" i="1"/>
  <c r="AK50" i="1"/>
  <c r="AL49" i="1"/>
  <c r="AY45" i="1"/>
  <c r="AS47" i="1"/>
  <c r="AP47" i="1"/>
  <c r="AW45" i="1" s="1"/>
  <c r="AV45" i="1"/>
  <c r="BG48" i="1"/>
  <c r="BE48" i="1"/>
  <c r="BD48" i="1"/>
  <c r="BC48" i="1"/>
  <c r="BH48" i="1"/>
  <c r="BA50" i="1"/>
  <c r="BB49" i="1"/>
  <c r="BO45" i="1"/>
  <c r="BI47" i="1"/>
  <c r="BF47" i="1"/>
  <c r="BM45" i="1" s="1"/>
  <c r="BL45" i="1"/>
  <c r="BG49" i="1" l="1"/>
  <c r="BE49" i="1"/>
  <c r="BD49" i="1"/>
  <c r="BC49" i="1"/>
  <c r="BH49" i="1"/>
  <c r="BA51" i="1"/>
  <c r="BB50" i="1"/>
  <c r="BK46" i="1"/>
  <c r="BI48" i="1"/>
  <c r="BF48" i="1"/>
  <c r="AQ49" i="1"/>
  <c r="AO49" i="1"/>
  <c r="AN49" i="1"/>
  <c r="AM49" i="1"/>
  <c r="AR49" i="1"/>
  <c r="AK51" i="1"/>
  <c r="AL50" i="1"/>
  <c r="AU46" i="1"/>
  <c r="AS48" i="1"/>
  <c r="AP48" i="1"/>
  <c r="AA49" i="1"/>
  <c r="Y49" i="1"/>
  <c r="X49" i="1"/>
  <c r="W49" i="1"/>
  <c r="AB49" i="1"/>
  <c r="U51" i="1"/>
  <c r="V50" i="1"/>
  <c r="AE46" i="1"/>
  <c r="AC48" i="1"/>
  <c r="Z48" i="1"/>
  <c r="K49" i="1"/>
  <c r="I49" i="1"/>
  <c r="H49" i="1"/>
  <c r="G49" i="1"/>
  <c r="L49" i="1"/>
  <c r="E51" i="1"/>
  <c r="F50" i="1"/>
  <c r="O46" i="1"/>
  <c r="M48" i="1"/>
  <c r="J48" i="1"/>
  <c r="K50" i="1" l="1"/>
  <c r="R46" i="1" s="1"/>
  <c r="I50" i="1"/>
  <c r="H50" i="1"/>
  <c r="G50" i="1"/>
  <c r="L50" i="1"/>
  <c r="S46" i="1" s="1"/>
  <c r="E52" i="1"/>
  <c r="F51" i="1"/>
  <c r="M49" i="1"/>
  <c r="J49" i="1"/>
  <c r="AA50" i="1"/>
  <c r="AH46" i="1" s="1"/>
  <c r="Y50" i="1"/>
  <c r="X50" i="1"/>
  <c r="W50" i="1"/>
  <c r="AB50" i="1"/>
  <c r="AI46" i="1" s="1"/>
  <c r="U52" i="1"/>
  <c r="V51" i="1"/>
  <c r="AC49" i="1"/>
  <c r="Z49" i="1"/>
  <c r="AQ50" i="1"/>
  <c r="AX46" i="1" s="1"/>
  <c r="AO50" i="1"/>
  <c r="AN50" i="1"/>
  <c r="AM50" i="1"/>
  <c r="AR50" i="1"/>
  <c r="AY46" i="1" s="1"/>
  <c r="AK52" i="1"/>
  <c r="AL51" i="1"/>
  <c r="AS49" i="1"/>
  <c r="AP49" i="1"/>
  <c r="BG50" i="1"/>
  <c r="BN46" i="1" s="1"/>
  <c r="BE50" i="1"/>
  <c r="BD50" i="1"/>
  <c r="BC50" i="1"/>
  <c r="BH50" i="1"/>
  <c r="BO46" i="1" s="1"/>
  <c r="BA52" i="1"/>
  <c r="BB51" i="1"/>
  <c r="BI49" i="1"/>
  <c r="BF49" i="1"/>
  <c r="BG51" i="1" l="1"/>
  <c r="BE51" i="1"/>
  <c r="BD51" i="1"/>
  <c r="BC51" i="1"/>
  <c r="BH51" i="1"/>
  <c r="BA53" i="1"/>
  <c r="BB52" i="1"/>
  <c r="BI50" i="1"/>
  <c r="BF50" i="1"/>
  <c r="BM46" i="1" s="1"/>
  <c r="BL46" i="1"/>
  <c r="AQ51" i="1"/>
  <c r="AO51" i="1"/>
  <c r="AN51" i="1"/>
  <c r="AM51" i="1"/>
  <c r="AR51" i="1"/>
  <c r="AK53" i="1"/>
  <c r="AL52" i="1"/>
  <c r="AS50" i="1"/>
  <c r="AP50" i="1"/>
  <c r="AW46" i="1" s="1"/>
  <c r="AV46" i="1"/>
  <c r="AA51" i="1"/>
  <c r="Y51" i="1"/>
  <c r="X51" i="1"/>
  <c r="W51" i="1"/>
  <c r="AB51" i="1"/>
  <c r="U53" i="1"/>
  <c r="V52" i="1"/>
  <c r="AC50" i="1"/>
  <c r="Z50" i="1"/>
  <c r="AG46" i="1" s="1"/>
  <c r="AF46" i="1"/>
  <c r="K51" i="1"/>
  <c r="I51" i="1"/>
  <c r="H51" i="1"/>
  <c r="G51" i="1"/>
  <c r="L51" i="1"/>
  <c r="E53" i="1"/>
  <c r="F52" i="1"/>
  <c r="M50" i="1"/>
  <c r="J50" i="1"/>
  <c r="Q46" i="1" s="1"/>
  <c r="P46" i="1"/>
  <c r="K52" i="1" l="1"/>
  <c r="I52" i="1"/>
  <c r="H52" i="1"/>
  <c r="G52" i="1"/>
  <c r="L52" i="1"/>
  <c r="E54" i="1"/>
  <c r="F53" i="1"/>
  <c r="O47" i="1"/>
  <c r="M51" i="1"/>
  <c r="J51" i="1"/>
  <c r="AA52" i="1"/>
  <c r="Y52" i="1"/>
  <c r="X52" i="1"/>
  <c r="W52" i="1"/>
  <c r="AB52" i="1"/>
  <c r="U54" i="1"/>
  <c r="V53" i="1"/>
  <c r="AE47" i="1"/>
  <c r="AC51" i="1"/>
  <c r="Z51" i="1"/>
  <c r="AQ52" i="1"/>
  <c r="AO52" i="1"/>
  <c r="AN52" i="1"/>
  <c r="AM52" i="1"/>
  <c r="AR52" i="1"/>
  <c r="AK54" i="1"/>
  <c r="AL53" i="1"/>
  <c r="AU47" i="1"/>
  <c r="AS51" i="1"/>
  <c r="AP51" i="1"/>
  <c r="BG52" i="1"/>
  <c r="BE52" i="1"/>
  <c r="BD52" i="1"/>
  <c r="BC52" i="1"/>
  <c r="BH52" i="1"/>
  <c r="BA54" i="1"/>
  <c r="BB53" i="1"/>
  <c r="BK47" i="1"/>
  <c r="BI51" i="1"/>
  <c r="BF51" i="1"/>
  <c r="BG53" i="1" l="1"/>
  <c r="BN47" i="1" s="1"/>
  <c r="BE53" i="1"/>
  <c r="BD53" i="1"/>
  <c r="BC53" i="1"/>
  <c r="BH53" i="1"/>
  <c r="BA55" i="1"/>
  <c r="BB54" i="1"/>
  <c r="BI52" i="1"/>
  <c r="BF52" i="1"/>
  <c r="AQ53" i="1"/>
  <c r="AX47" i="1" s="1"/>
  <c r="AO53" i="1"/>
  <c r="AN53" i="1"/>
  <c r="AM53" i="1"/>
  <c r="AR53" i="1"/>
  <c r="AK55" i="1"/>
  <c r="AL54" i="1"/>
  <c r="AS52" i="1"/>
  <c r="AP52" i="1"/>
  <c r="AA53" i="1"/>
  <c r="AH47" i="1" s="1"/>
  <c r="Y53" i="1"/>
  <c r="X53" i="1"/>
  <c r="W53" i="1"/>
  <c r="AB53" i="1"/>
  <c r="U55" i="1"/>
  <c r="V54" i="1"/>
  <c r="AC52" i="1"/>
  <c r="Z52" i="1"/>
  <c r="K53" i="1"/>
  <c r="R47" i="1" s="1"/>
  <c r="I53" i="1"/>
  <c r="H53" i="1"/>
  <c r="G53" i="1"/>
  <c r="L53" i="1"/>
  <c r="E55" i="1"/>
  <c r="F54" i="1"/>
  <c r="M52" i="1"/>
  <c r="J52" i="1"/>
  <c r="K54" i="1" l="1"/>
  <c r="I54" i="1"/>
  <c r="H54" i="1"/>
  <c r="G54" i="1"/>
  <c r="L54" i="1"/>
  <c r="E56" i="1"/>
  <c r="F55" i="1"/>
  <c r="S47" i="1"/>
  <c r="M53" i="1"/>
  <c r="J53" i="1"/>
  <c r="Q47" i="1" s="1"/>
  <c r="P47" i="1"/>
  <c r="AA54" i="1"/>
  <c r="Y54" i="1"/>
  <c r="X54" i="1"/>
  <c r="W54" i="1"/>
  <c r="AB54" i="1"/>
  <c r="U56" i="1"/>
  <c r="V55" i="1"/>
  <c r="AI47" i="1"/>
  <c r="AC53" i="1"/>
  <c r="Z53" i="1"/>
  <c r="AG47" i="1" s="1"/>
  <c r="AF47" i="1"/>
  <c r="AQ54" i="1"/>
  <c r="AO54" i="1"/>
  <c r="AN54" i="1"/>
  <c r="AM54" i="1"/>
  <c r="AR54" i="1"/>
  <c r="AK56" i="1"/>
  <c r="AL55" i="1"/>
  <c r="AY47" i="1"/>
  <c r="AS53" i="1"/>
  <c r="AP53" i="1"/>
  <c r="AW47" i="1" s="1"/>
  <c r="AV47" i="1"/>
  <c r="BG54" i="1"/>
  <c r="BE54" i="1"/>
  <c r="BD54" i="1"/>
  <c r="BC54" i="1"/>
  <c r="BH54" i="1"/>
  <c r="BA56" i="1"/>
  <c r="BB55" i="1"/>
  <c r="BO47" i="1"/>
  <c r="BI53" i="1"/>
  <c r="BF53" i="1"/>
  <c r="BM47" i="1" s="1"/>
  <c r="BL47" i="1"/>
  <c r="BG55" i="1" l="1"/>
  <c r="BE55" i="1"/>
  <c r="BD55" i="1"/>
  <c r="BC55" i="1"/>
  <c r="BH55" i="1"/>
  <c r="BB56" i="1"/>
  <c r="BK48" i="1"/>
  <c r="BI54" i="1"/>
  <c r="BF54" i="1"/>
  <c r="AQ55" i="1"/>
  <c r="AO55" i="1"/>
  <c r="AN55" i="1"/>
  <c r="AM55" i="1"/>
  <c r="AR55" i="1"/>
  <c r="AL56" i="1"/>
  <c r="AU48" i="1"/>
  <c r="AS54" i="1"/>
  <c r="AP54" i="1"/>
  <c r="AA55" i="1"/>
  <c r="Y55" i="1"/>
  <c r="X55" i="1"/>
  <c r="W55" i="1"/>
  <c r="AB55" i="1"/>
  <c r="V56" i="1"/>
  <c r="AE48" i="1"/>
  <c r="AC54" i="1"/>
  <c r="Z54" i="1"/>
  <c r="K55" i="1"/>
  <c r="I55" i="1"/>
  <c r="H55" i="1"/>
  <c r="G55" i="1"/>
  <c r="L55" i="1"/>
  <c r="F56" i="1"/>
  <c r="O48" i="1"/>
  <c r="M54" i="1"/>
  <c r="J54" i="1"/>
  <c r="K56" i="1" l="1"/>
  <c r="I56" i="1"/>
  <c r="H56" i="1"/>
  <c r="G56" i="1"/>
  <c r="L56" i="1"/>
  <c r="S48" i="1" s="1"/>
  <c r="S49" i="1"/>
  <c r="M55" i="1"/>
  <c r="J55" i="1"/>
  <c r="AA56" i="1"/>
  <c r="Y56" i="1"/>
  <c r="X56" i="1"/>
  <c r="W56" i="1"/>
  <c r="AB56" i="1"/>
  <c r="AI48" i="1" s="1"/>
  <c r="AI49" i="1"/>
  <c r="AC55" i="1"/>
  <c r="Z55" i="1"/>
  <c r="AQ56" i="1"/>
  <c r="AO56" i="1"/>
  <c r="AN56" i="1"/>
  <c r="AM56" i="1"/>
  <c r="AR56" i="1"/>
  <c r="AY48" i="1" s="1"/>
  <c r="AY49" i="1"/>
  <c r="AS55" i="1"/>
  <c r="AP55" i="1"/>
  <c r="BG56" i="1"/>
  <c r="BE56" i="1"/>
  <c r="BD56" i="1"/>
  <c r="BC56" i="1"/>
  <c r="BH56" i="1"/>
  <c r="BO48" i="1" s="1"/>
  <c r="BO49" i="1"/>
  <c r="BI55" i="1"/>
  <c r="BF55" i="1"/>
  <c r="BI56" i="1" l="1"/>
  <c r="BF56" i="1"/>
  <c r="BL49" i="1"/>
  <c r="BL48" i="1"/>
  <c r="BN16" i="1"/>
  <c r="BN15" i="1"/>
  <c r="BK13" i="1" s="1"/>
  <c r="BN49" i="1"/>
  <c r="BN48" i="1"/>
  <c r="AS56" i="1"/>
  <c r="AP56" i="1"/>
  <c r="AV49" i="1"/>
  <c r="AV48" i="1"/>
  <c r="AX16" i="1"/>
  <c r="AX15" i="1"/>
  <c r="AU13" i="1" s="1"/>
  <c r="AX49" i="1"/>
  <c r="AX48" i="1"/>
  <c r="AC56" i="1"/>
  <c r="Z56" i="1"/>
  <c r="AF49" i="1"/>
  <c r="AF48" i="1"/>
  <c r="AH16" i="1"/>
  <c r="AH15" i="1"/>
  <c r="AE13" i="1" s="1"/>
  <c r="AH49" i="1"/>
  <c r="AH48" i="1"/>
  <c r="M56" i="1"/>
  <c r="J56" i="1"/>
  <c r="P49" i="1"/>
  <c r="P48" i="1"/>
  <c r="R16" i="1"/>
  <c r="R15" i="1"/>
  <c r="O13" i="1" s="1"/>
  <c r="R49" i="1"/>
  <c r="R48" i="1"/>
  <c r="Q49" i="1" l="1"/>
  <c r="Q48" i="1"/>
  <c r="AG49" i="1"/>
  <c r="AG48" i="1"/>
  <c r="AW49" i="1"/>
  <c r="AW48" i="1"/>
  <c r="BM49" i="1"/>
  <c r="BM48" i="1"/>
</calcChain>
</file>

<file path=xl/sharedStrings.xml><?xml version="1.0" encoding="utf-8"?>
<sst xmlns="http://schemas.openxmlformats.org/spreadsheetml/2006/main" count="2285" uniqueCount="373">
  <si>
    <t>ASSINATURAS</t>
  </si>
  <si>
    <t>DASHBOARD DE ASSINATURAS  ·  VISÃO GERAL  ·  todas as assinaturas</t>
  </si>
  <si>
    <t>DASHBOARD DE ASSINATURAS  ·  MONTHLY  ·  cobrança mensal</t>
  </si>
  <si>
    <t>DASHBOARD DE ASSINATURAS  ·  QUARTERLY  ·  cobrança trimestral</t>
  </si>
  <si>
    <t>DASHBOARD DE ASSINATURAS  ·  ANNUAL  ·  cobrança anual</t>
  </si>
  <si>
    <t>Dashboard de vendas</t>
  </si>
  <si>
    <t>Período de análise</t>
  </si>
  <si>
    <t>até</t>
  </si>
  <si>
    <t>Assinaturas na base (esta visão)</t>
  </si>
  <si>
    <t>Snapshot de MRR na data final do período</t>
  </si>
  <si>
    <t>NAVEGAÇÃO</t>
  </si>
  <si>
    <t>ASSINANTES ATIVOS</t>
  </si>
  <si>
    <t>MRR</t>
  </si>
  <si>
    <t>ARR</t>
  </si>
  <si>
    <t>ARPU</t>
  </si>
  <si>
    <t>% COM RENOVAÇÃO AUTOMÁTICA</t>
  </si>
  <si>
    <t>▸  Visão geral</t>
  </si>
  <si>
    <t>receita mensal recorrente</t>
  </si>
  <si>
    <t>MRR × 12</t>
  </si>
  <si>
    <t>MRR ÷ assinantes ativos</t>
  </si>
  <si>
    <t>dos assinantes ativos</t>
  </si>
  <si>
    <t>▸  Monthly · mensal</t>
  </si>
  <si>
    <t>OKRs · 3 perguntas de negócio que este dashboard responde</t>
  </si>
  <si>
    <t>OKR 1 · Qual plano concentra mais receita recorrente?</t>
  </si>
  <si>
    <t>OKR 2 · Que parcela do MRR é recorrente de fato (renovação automática)?</t>
  </si>
  <si>
    <t>OKR 3 · O MRR está crescendo mês a mês?</t>
  </si>
  <si>
    <t>▸  Quarterly · trimestral</t>
  </si>
  <si>
    <t>▸  Annual · anual</t>
  </si>
  <si>
    <t>KR · participação no MRR</t>
  </si>
  <si>
    <t>KR · MRR renovável</t>
  </si>
  <si>
    <t>KR · variação do MRR vs. mês anterior</t>
  </si>
  <si>
    <t>KR · MRR do plano líder</t>
  </si>
  <si>
    <t>KR · MRR não renovável (expira)</t>
  </si>
  <si>
    <t>KR · Δ MRR líquido no último mês</t>
  </si>
  <si>
    <t>PREMISSAS</t>
  </si>
  <si>
    <t>KPIs por forma de assinatura (renovável × não)</t>
  </si>
  <si>
    <t>Comparação por plano</t>
  </si>
  <si>
    <t>Comparação por tipo de assinatura</t>
  </si>
  <si>
    <t>Composição do MRR</t>
  </si>
  <si>
    <t>Meses · Monthly</t>
  </si>
  <si>
    <t>Métrica</t>
  </si>
  <si>
    <t>Total</t>
  </si>
  <si>
    <t>Renovável</t>
  </si>
  <si>
    <t>Não renov.</t>
  </si>
  <si>
    <t>Plano</t>
  </si>
  <si>
    <t>Ativos</t>
  </si>
  <si>
    <t>Tipo</t>
  </si>
  <si>
    <t>Componente</t>
  </si>
  <si>
    <t>% do MRR</t>
  </si>
  <si>
    <t>Meses · Quarterly</t>
  </si>
  <si>
    <t>Assinantes ativos</t>
  </si>
  <si>
    <t>Core</t>
  </si>
  <si>
    <t>Monthly</t>
  </si>
  <si>
    <t>Plano base</t>
  </si>
  <si>
    <t>Meses · Annual</t>
  </si>
  <si>
    <t>Standard</t>
  </si>
  <si>
    <t>Quarterly</t>
  </si>
  <si>
    <t>EA Play Season Pass</t>
  </si>
  <si>
    <t>Data de referência</t>
  </si>
  <si>
    <t>Ultimate</t>
  </si>
  <si>
    <t>Annual</t>
  </si>
  <si>
    <t>Minecraft Season Pass</t>
  </si>
  <si>
    <t>Início da base</t>
  </si>
  <si>
    <t>(−) Cupons</t>
  </si>
  <si>
    <t>1º mês da série</t>
  </si>
  <si>
    <t>Peso no MRR</t>
  </si>
  <si>
    <t>MRR total</t>
  </si>
  <si>
    <t>Ativa = começou até a data de corte e (renova sozinha OU o ciclo ainda não terminou).</t>
  </si>
  <si>
    <t>MRR = valor total (plano + add-ons − cupom) ÷ meses do ciclo da assinatura.</t>
  </si>
  <si>
    <t>ARR = MRR × 12  ·  ARPU = MRR ÷ ativos.</t>
  </si>
  <si>
    <t>Análise temporal · MRR no fim de cada mês</t>
  </si>
  <si>
    <t>Resumo trimestral e anual (fim do período)</t>
  </si>
  <si>
    <t>Mês</t>
  </si>
  <si>
    <t>Corte</t>
  </si>
  <si>
    <t>Novos</t>
  </si>
  <si>
    <t>Δ MRR m/m</t>
  </si>
  <si>
    <t>Período</t>
  </si>
  <si>
    <t>—</t>
  </si>
  <si>
    <t>Último mês é parcial: o corte usa a data de referência (último início na base). A série cobre 12 meses a partir do 1º mês da base.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</si>
  <si>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</si>
  <si>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</si>
  <si>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</si>
  <si>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</si>
  <si>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</si>
  <si>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</si>
  <si>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</si>
  <si>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
Price</t>
  </si>
  <si>
    <t>Minecraft Season Pass Price</t>
  </si>
  <si>
    <t>Coupon Value</t>
  </si>
  <si>
    <t>Total Value</t>
  </si>
  <si>
    <t>João Silva</t>
  </si>
  <si>
    <t>Yes</t>
  </si>
  <si>
    <t>Maria Oliveira</t>
  </si>
  <si>
    <t>No</t>
  </si>
  <si>
    <t>-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</si>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</sst>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dd/mm/yy"/>
    <numFmt numFmtId="165" formatCode="&quot;R$&quot;\ #,##0"/>
    <numFmt numFmtId="166" formatCode="&quot;R$&quot;\ #,##0.00"/>
    <numFmt numFmtId="167" formatCode="0.0%"/>
    <numFmt numFmtId="168" formatCode="[Color10]\▲\ 0.0%;[Red]\▼\ 0.0%;0.0%"/>
    <numFmt numFmtId="169" formatCode="[Color10]\▲\ &quot;R$&quot;\ #,##0;[Red]\▼\ &quot;R$&quot;\ #,##0;&quot;R$&quot;\ 0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F1F0E8"/>
      <name val="Arial"/>
    </font>
    <font>
      <sz val="9"/>
      <color rgb="FF98967C"/>
      <name val="Arial"/>
    </font>
    <font>
      <b/>
      <sz val="8"/>
      <color rgb="FF98967C"/>
      <name val="Arial"/>
    </font>
    <font>
      <b/>
      <sz val="10"/>
      <color rgb="FFF1F0E8"/>
      <name val="Arial"/>
    </font>
    <font>
      <sz val="9"/>
      <color rgb="FFF1F0E8"/>
      <name val="Arial"/>
    </font>
    <font>
      <b/>
      <sz val="9"/>
      <color rgb="FFF1F0E8"/>
      <name val="Arial"/>
    </font>
    <font>
      <i/>
      <sz val="8"/>
      <color rgb="FF98967C"/>
      <name val="Arial"/>
    </font>
    <font>
      <b/>
      <sz val="16"/>
      <color rgb="FFF1F0E8"/>
      <name val="Arial"/>
    </font>
    <font>
      <b/>
      <sz val="9"/>
      <color rgb="FFFFFFFF"/>
      <name val="Arial"/>
    </font>
    <font>
      <b/>
      <sz val="10"/>
      <color rgb="FF272712"/>
      <name val="Arial"/>
    </font>
    <font>
      <i/>
      <sz val="8"/>
      <color rgb="FF7C7A62"/>
      <name val="Arial"/>
    </font>
    <font>
      <b/>
      <sz val="9"/>
      <color rgb="FF272712"/>
      <name val="Arial"/>
    </font>
    <font>
      <sz val="9"/>
      <color rgb="FF272712"/>
      <name val="Arial"/>
    </font>
    <font>
      <b/>
      <sz val="8"/>
      <color rgb="FF605F47"/>
      <name val="Arial"/>
    </font>
    <font>
      <b/>
      <sz val="20"/>
      <color rgb="FF272712"/>
      <name val="Arial"/>
    </font>
    <font>
      <b/>
      <sz val="9"/>
      <color rgb="FF605F47"/>
      <name val="Arial"/>
    </font>
    <font>
      <b/>
      <sz val="18"/>
      <color rgb="FF272712"/>
      <name val="Arial"/>
    </font>
    <font>
      <sz val="8"/>
      <color rgb="FF605F47"/>
      <name val="Arial"/>
    </font>
    <font>
      <b/>
      <sz val="9"/>
      <color theme="0"/>
      <name val="Arial"/>
    </font>
  </fonts>
  <fills count="10">
    <fill>
      <patternFill patternType="none"/>
    </fill>
    <fill>
      <patternFill patternType="gray125"/>
    </fill>
    <fill>
      <patternFill patternType="solid">
        <fgColor rgb="FF272712"/>
        <bgColor rgb="FF272712"/>
      </patternFill>
    </fill>
    <fill>
      <patternFill patternType="solid">
        <fgColor rgb="FFEEEDE4"/>
        <bgColor rgb="FFEEEDE4"/>
      </patternFill>
    </fill>
    <fill>
      <patternFill patternType="solid">
        <fgColor rgb="FF43432D"/>
        <bgColor rgb="FF43432D"/>
      </patternFill>
    </fill>
    <fill>
      <patternFill patternType="solid">
        <fgColor rgb="FF605F47"/>
        <bgColor rgb="FF605F47"/>
      </patternFill>
    </fill>
    <fill>
      <patternFill patternType="solid">
        <fgColor rgb="FFFFFFFF"/>
        <bgColor rgb="FFFFFFFF"/>
      </patternFill>
    </fill>
    <fill>
      <patternFill patternType="solid">
        <fgColor rgb="FFE2E1D3"/>
        <bgColor rgb="FFE2E1D3"/>
      </patternFill>
    </fill>
    <fill>
      <patternFill patternType="solid">
        <fgColor rgb="FFF7F6EF"/>
        <bgColor rgb="FFF7F6EF"/>
      </patternFill>
    </fill>
    <fill>
      <patternFill patternType="solid">
        <fgColor rgb="FF43432D"/>
        <bgColor indexed="64"/>
      </patternFill>
    </fill>
  </fills>
  <borders count="7">
    <border>
      <left/>
      <right/>
      <top/>
      <bottom/>
      <diagonal/>
    </border>
    <border>
      <left style="thick">
        <color rgb="FF98967C"/>
      </left>
      <right/>
      <top/>
      <bottom/>
      <diagonal/>
    </border>
    <border>
      <left style="thin">
        <color rgb="FF98967C"/>
      </left>
      <right style="thin">
        <color rgb="FF98967C"/>
      </right>
      <top style="thin">
        <color rgb="FF98967C"/>
      </top>
      <bottom style="thin">
        <color rgb="FF98967C"/>
      </bottom>
      <diagonal/>
    </border>
    <border>
      <left/>
      <right/>
      <top/>
      <bottom style="thin">
        <color rgb="FFD3D2C3"/>
      </bottom>
      <diagonal/>
    </border>
    <border>
      <left style="thick">
        <color rgb="FFEEEDE4"/>
      </left>
      <right/>
      <top style="thick">
        <color rgb="FF605F47"/>
      </top>
      <bottom/>
      <diagonal/>
    </border>
    <border>
      <left/>
      <right/>
      <top style="thick">
        <color rgb="FF605F47"/>
      </top>
      <bottom/>
      <diagonal/>
    </border>
    <border>
      <left style="thick">
        <color rgb="FFEEEDE4"/>
      </left>
      <right/>
      <top/>
      <bottom/>
      <diagonal/>
    </border>
  </borders>
  <cellStyleXfs count="2">
    <xf numFmtId="0" fontId="0" fillId="0" borderId="0"/>
    <xf numFmtId="44" fontId="1" fillId="0" borderId="0"/>
  </cellStyleXfs>
  <cellXfs count="6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3" fontId="12" fillId="6" borderId="0" xfId="0" applyNumberFormat="1" applyFont="1" applyFill="1" applyAlignment="1">
      <alignment horizontal="center" vertical="center" wrapText="1"/>
    </xf>
    <xf numFmtId="0" fontId="5" fillId="2" borderId="0" xfId="0" applyFont="1" applyFill="1"/>
    <xf numFmtId="0" fontId="7" fillId="2" borderId="0" xfId="0" applyFont="1" applyFill="1"/>
    <xf numFmtId="164" fontId="8" fillId="4" borderId="2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3" fontId="15" fillId="6" borderId="3" xfId="0" applyNumberFormat="1" applyFont="1" applyFill="1" applyBorder="1" applyAlignment="1">
      <alignment horizontal="right" vertical="center" indent="1"/>
    </xf>
    <xf numFmtId="0" fontId="14" fillId="6" borderId="3" xfId="0" applyFont="1" applyFill="1" applyBorder="1" applyAlignment="1">
      <alignment horizontal="left" vertical="center" wrapText="1" indent="1"/>
    </xf>
    <xf numFmtId="165" fontId="15" fillId="6" borderId="3" xfId="0" applyNumberFormat="1" applyFont="1" applyFill="1" applyBorder="1" applyAlignment="1">
      <alignment horizontal="right" vertical="center" indent="1"/>
    </xf>
    <xf numFmtId="167" fontId="15" fillId="6" borderId="3" xfId="0" applyNumberFormat="1" applyFont="1" applyFill="1" applyBorder="1" applyAlignment="1">
      <alignment horizontal="right" vertical="center" indent="1"/>
    </xf>
    <xf numFmtId="166" fontId="15" fillId="6" borderId="3" xfId="0" applyNumberFormat="1" applyFont="1" applyFill="1" applyBorder="1" applyAlignment="1">
      <alignment horizontal="right" vertical="center" indent="1"/>
    </xf>
    <xf numFmtId="3" fontId="14" fillId="7" borderId="3" xfId="0" applyNumberFormat="1" applyFont="1" applyFill="1" applyBorder="1" applyAlignment="1">
      <alignment horizontal="right" vertical="center" indent="1"/>
    </xf>
    <xf numFmtId="165" fontId="14" fillId="7" borderId="3" xfId="0" applyNumberFormat="1" applyFont="1" applyFill="1" applyBorder="1" applyAlignment="1">
      <alignment horizontal="right" vertical="center" indent="1"/>
    </xf>
    <xf numFmtId="0" fontId="14" fillId="7" borderId="3" xfId="0" applyFont="1" applyFill="1" applyBorder="1" applyAlignment="1">
      <alignment horizontal="left" vertical="center" wrapText="1" indent="1"/>
    </xf>
    <xf numFmtId="167" fontId="14" fillId="7" borderId="3" xfId="0" applyNumberFormat="1" applyFont="1" applyFill="1" applyBorder="1" applyAlignment="1">
      <alignment horizontal="right" vertical="center" indent="1"/>
    </xf>
    <xf numFmtId="17" fontId="14" fillId="6" borderId="3" xfId="0" applyNumberFormat="1" applyFont="1" applyFill="1" applyBorder="1" applyAlignment="1">
      <alignment horizontal="center" vertical="center" wrapText="1"/>
    </xf>
    <xf numFmtId="164" fontId="15" fillId="6" borderId="3" xfId="0" applyNumberFormat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right" vertical="center" indent="1"/>
    </xf>
    <xf numFmtId="0" fontId="14" fillId="6" borderId="3" xfId="0" applyFont="1" applyFill="1" applyBorder="1" applyAlignment="1">
      <alignment horizontal="center" vertical="center" wrapText="1"/>
    </xf>
    <xf numFmtId="168" fontId="15" fillId="6" borderId="3" xfId="0" applyNumberFormat="1" applyFont="1" applyFill="1" applyBorder="1" applyAlignment="1">
      <alignment horizontal="right" vertical="center" indent="1"/>
    </xf>
    <xf numFmtId="0" fontId="14" fillId="7" borderId="3" xfId="0" applyFont="1" applyFill="1" applyBorder="1" applyAlignment="1">
      <alignment horizontal="center" vertical="center" wrapText="1"/>
    </xf>
    <xf numFmtId="14" fontId="12" fillId="6" borderId="0" xfId="0" applyNumberFormat="1" applyFont="1" applyFill="1" applyAlignment="1">
      <alignment horizontal="center" vertical="center" wrapText="1"/>
    </xf>
    <xf numFmtId="0" fontId="0" fillId="3" borderId="0" xfId="0" applyFill="1" applyAlignment="1"/>
    <xf numFmtId="0" fontId="14" fillId="6" borderId="3" xfId="0" applyFont="1" applyFill="1" applyBorder="1" applyAlignment="1">
      <alignment horizontal="left" vertical="center" wrapText="1" indent="1"/>
    </xf>
    <xf numFmtId="0" fontId="0" fillId="0" borderId="3" xfId="0" applyBorder="1" applyAlignment="1"/>
    <xf numFmtId="169" fontId="14" fillId="8" borderId="0" xfId="0" applyNumberFormat="1" applyFont="1" applyFill="1" applyAlignment="1">
      <alignment horizontal="right" vertical="center" indent="1"/>
    </xf>
    <xf numFmtId="0" fontId="13" fillId="6" borderId="6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 indent="1"/>
    </xf>
    <xf numFmtId="3" fontId="17" fillId="6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/>
    <xf numFmtId="0" fontId="16" fillId="6" borderId="4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20" fillId="8" borderId="6" xfId="0" applyFont="1" applyFill="1" applyBorder="1" applyAlignment="1">
      <alignment horizontal="left" vertical="center" wrapText="1" indent="1"/>
    </xf>
    <xf numFmtId="0" fontId="13" fillId="3" borderId="0" xfId="0" applyFont="1" applyFill="1" applyAlignment="1">
      <alignment horizontal="left" vertical="center" wrapText="1" indent="1"/>
    </xf>
    <xf numFmtId="0" fontId="14" fillId="7" borderId="3" xfId="0" applyFont="1" applyFill="1" applyBorder="1" applyAlignment="1">
      <alignment horizontal="left" vertical="center" wrapText="1" indent="1"/>
    </xf>
    <xf numFmtId="0" fontId="10" fillId="4" borderId="0" xfId="0" applyFont="1" applyFill="1" applyAlignment="1">
      <alignment horizontal="left" vertical="center" indent="1"/>
    </xf>
    <xf numFmtId="165" fontId="14" fillId="8" borderId="0" xfId="0" applyNumberFormat="1" applyFont="1" applyFill="1" applyAlignment="1">
      <alignment horizontal="right" vertical="center" indent="1"/>
    </xf>
    <xf numFmtId="0" fontId="6" fillId="4" borderId="0" xfId="0" applyFont="1" applyFill="1" applyAlignment="1">
      <alignment horizontal="left" vertical="center" indent="1"/>
    </xf>
    <xf numFmtId="0" fontId="18" fillId="6" borderId="4" xfId="0" applyFont="1" applyFill="1" applyBorder="1" applyAlignment="1">
      <alignment horizontal="left" vertical="center" wrapText="1" indent="1"/>
    </xf>
    <xf numFmtId="165" fontId="17" fillId="6" borderId="6" xfId="0" applyNumberFormat="1" applyFont="1" applyFill="1" applyBorder="1" applyAlignment="1">
      <alignment horizontal="center" vertical="center" wrapText="1"/>
    </xf>
    <xf numFmtId="167" fontId="17" fillId="6" borderId="6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indent="1"/>
    </xf>
    <xf numFmtId="0" fontId="0" fillId="2" borderId="0" xfId="0" applyFill="1" applyAlignment="1"/>
    <xf numFmtId="0" fontId="0" fillId="0" borderId="1" xfId="0" applyBorder="1" applyAlignment="1"/>
    <xf numFmtId="168" fontId="14" fillId="8" borderId="0" xfId="0" applyNumberFormat="1" applyFont="1" applyFill="1" applyAlignment="1">
      <alignment horizontal="right" vertical="center" indent="1"/>
    </xf>
    <xf numFmtId="0" fontId="11" fillId="5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vertical="top" wrapText="1"/>
    </xf>
    <xf numFmtId="0" fontId="13" fillId="3" borderId="0" xfId="0" applyFont="1" applyFill="1" applyAlignment="1">
      <alignment vertical="top" wrapText="1"/>
    </xf>
    <xf numFmtId="167" fontId="14" fillId="8" borderId="0" xfId="0" applyNumberFormat="1" applyFont="1" applyFill="1" applyAlignment="1">
      <alignment horizontal="right" vertical="center" indent="1"/>
    </xf>
    <xf numFmtId="166" fontId="17" fillId="6" borderId="6" xfId="0" applyNumberFormat="1" applyFont="1" applyFill="1" applyBorder="1" applyAlignment="1">
      <alignment horizontal="center" vertical="center" wrapText="1"/>
    </xf>
    <xf numFmtId="1" fontId="21" fillId="9" borderId="2" xfId="0" applyNumberFormat="1" applyFont="1" applyFill="1" applyBorder="1" applyAlignment="1">
      <alignment horizontal="center" vertical="center"/>
    </xf>
    <xf numFmtId="0" fontId="19" fillId="6" borderId="6" xfId="0" applyFont="1" applyFill="1" applyBorder="1" applyAlignment="1">
      <alignment horizontal="center" vertical="top" wrapText="1"/>
    </xf>
    <xf numFmtId="0" fontId="0" fillId="3" borderId="0" xfId="0" applyFill="1" applyAlignment="1">
      <alignment vertical="top"/>
    </xf>
    <xf numFmtId="0" fontId="0" fillId="0" borderId="6" xfId="0" applyBorder="1" applyAlignment="1">
      <alignment vertical="top"/>
    </xf>
    <xf numFmtId="167" fontId="19" fillId="6" borderId="6" xfId="0" applyNumberFormat="1" applyFont="1" applyFill="1" applyBorder="1" applyAlignment="1">
      <alignment horizontal="center" vertical="top" wrapText="1"/>
    </xf>
  </cellXfs>
  <cellStyles count="2">
    <cellStyle name="Moeda" xfId="1" builtinId="4"/>
    <cellStyle name="Normal" xfId="0" builtinId="0"/>
  </cellStyles>
  <dxfs count="14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colors>
    <mruColors>
      <color rgb="FF4343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MRR por plano · renovável × não renovável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Dashboard!M19</c:f>
              <c:strCache>
                <c:ptCount val="1"/>
                <c:pt idx="0">
                  <c:v>Renovável</c:v>
                </c:pt>
              </c:strCache>
            </c:strRef>
          </c:tx>
          <c:spPr>
            <a:solidFill>
              <a:srgbClr val="43432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Dashboard!$J$20:$J$22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Dashboard!$M$20:$M$22</c:f>
              <c:numCache>
                <c:formatCode>"R$"\ #,##0</c:formatCode>
                <c:ptCount val="3"/>
                <c:pt idx="0">
                  <c:v>92.583333333333329</c:v>
                </c:pt>
                <c:pt idx="1">
                  <c:v>256.16666666666669</c:v>
                </c:pt>
                <c:pt idx="2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F-48ED-8987-F4D099BFB958}"/>
            </c:ext>
          </c:extLst>
        </c:ser>
        <c:ser>
          <c:idx val="1"/>
          <c:order val="1"/>
          <c:tx>
            <c:strRef>
              <c:f>Dashboard!N19</c:f>
              <c:strCache>
                <c:ptCount val="1"/>
                <c:pt idx="0">
                  <c:v>Não renov.</c:v>
                </c:pt>
              </c:strCache>
            </c:strRef>
          </c:tx>
          <c:spPr>
            <a:solidFill>
              <a:srgbClr val="98967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Dashboard!$J$20:$J$22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Dashboard!$N$20:$N$22</c:f>
              <c:numCache>
                <c:formatCode>"R$"\ #,##0</c:formatCode>
                <c:ptCount val="3"/>
                <c:pt idx="0">
                  <c:v>23.75</c:v>
                </c:pt>
                <c:pt idx="1">
                  <c:v>105.83333333333333</c:v>
                </c:pt>
                <c:pt idx="2">
                  <c:v>342.83333333333337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0F-48ED-8987-F4D099BFB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29631523332310733"/>
          <c:y val="0.93814337270341208"/>
          <c:w val="0.38659003988137847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MRR por tipo · renovável × não renovável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Dashboard!R19</c:f>
              <c:strCache>
                <c:ptCount val="1"/>
                <c:pt idx="0">
                  <c:v>Renovável</c:v>
                </c:pt>
              </c:strCache>
            </c:strRef>
          </c:tx>
          <c:spPr>
            <a:solidFill>
              <a:srgbClr val="43432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Dashboard!$O$20:$O$22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Dashboard!$R$20:$R$22</c:f>
              <c:numCache>
                <c:formatCode>"R$"\ #,##0</c:formatCode>
                <c:ptCount val="3"/>
                <c:pt idx="0">
                  <c:v>747</c:v>
                </c:pt>
                <c:pt idx="1">
                  <c:v>500.66666666666669</c:v>
                </c:pt>
                <c:pt idx="2">
                  <c:v>128.08333333333334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A-4EB5-A521-C55323B693C5}"/>
            </c:ext>
          </c:extLst>
        </c:ser>
        <c:ser>
          <c:idx val="1"/>
          <c:order val="1"/>
          <c:tx>
            <c:strRef>
              <c:f>Dashboard!S19</c:f>
              <c:strCache>
                <c:ptCount val="1"/>
                <c:pt idx="0">
                  <c:v>Não renov.</c:v>
                </c:pt>
              </c:strCache>
            </c:strRef>
          </c:tx>
          <c:spPr>
            <a:solidFill>
              <a:srgbClr val="98967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Dashboard!$O$20:$O$22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Dashboard!$S$20:$S$22</c:f>
              <c:numCache>
                <c:formatCode>"R$"\ #,##0</c:formatCode>
                <c:ptCount val="3"/>
                <c:pt idx="0">
                  <c:v>383</c:v>
                </c:pt>
                <c:pt idx="1">
                  <c:v>71.333333333333329</c:v>
                </c:pt>
                <c:pt idx="2">
                  <c:v>18.083333333333332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AA-4EB5-A521-C55323B69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29199301015754991"/>
          <c:y val="0.93814337270341208"/>
          <c:w val="0.39479354205392758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Análise temporal · MRR no fim de cada mês (R$)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Dashboard!G44</c:f>
              <c:strCache>
                <c:ptCount val="1"/>
                <c:pt idx="0">
                  <c:v>MRR</c:v>
                </c:pt>
              </c:strCache>
            </c:strRef>
          </c:tx>
          <c:spPr>
            <a:ln w="34925">
              <a:solidFill>
                <a:srgbClr val="27271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72712"/>
              </a:solidFill>
              <a:ln>
                <a:solidFill>
                  <a:srgbClr val="272712"/>
                </a:solidFill>
                <a:prstDash val="solid"/>
              </a:ln>
            </c:spPr>
          </c:marker>
          <c:cat>
            <c:numRef>
              <c:f>Dashboard!$E$45:$E$56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Dashboard!$G$45:$G$56</c:f>
              <c:numCache>
                <c:formatCode>"R$"\ #,##0</c:formatCode>
                <c:ptCount val="12"/>
                <c:pt idx="0">
                  <c:v>60.416666666666664</c:v>
                </c:pt>
                <c:pt idx="1">
                  <c:v>129.08333333333331</c:v>
                </c:pt>
                <c:pt idx="2">
                  <c:v>590.91666666666663</c:v>
                </c:pt>
                <c:pt idx="3">
                  <c:v>608.41666666666674</c:v>
                </c:pt>
                <c:pt idx="4">
                  <c:v>739.33333333333326</c:v>
                </c:pt>
                <c:pt idx="5">
                  <c:v>1155.1666666666667</c:v>
                </c:pt>
                <c:pt idx="6">
                  <c:v>1330.3333333333335</c:v>
                </c:pt>
                <c:pt idx="7">
                  <c:v>1423.8333333333333</c:v>
                </c:pt>
                <c:pt idx="8">
                  <c:v>1541</c:v>
                </c:pt>
                <c:pt idx="9">
                  <c:v>1748.8333333333335</c:v>
                </c:pt>
                <c:pt idx="10">
                  <c:v>1750.5833333333335</c:v>
                </c:pt>
                <c:pt idx="11">
                  <c:v>1848.1666666666667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4-4DEB-B5FE-FB2ED9E629A5}"/>
            </c:ext>
          </c:extLst>
        </c:ser>
        <c:ser>
          <c:idx val="1"/>
          <c:order val="1"/>
          <c:tx>
            <c:strRef>
              <c:f>Dashboard!H44</c:f>
              <c:strCache>
                <c:ptCount val="1"/>
                <c:pt idx="0">
                  <c:v>Renovável</c:v>
                </c:pt>
              </c:strCache>
            </c:strRef>
          </c:tx>
          <c:spPr>
            <a:ln w="22225">
              <a:solidFill>
                <a:srgbClr val="605F47"/>
              </a:solidFill>
              <a:prstDash val="solid"/>
            </a:ln>
          </c:spPr>
          <c:marker>
            <c:symbol val="none"/>
          </c:marker>
          <c:cat>
            <c:numRef>
              <c:f>Dashboard!$E$45:$E$56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Dashboard!$H$45:$H$56</c:f>
              <c:numCache>
                <c:formatCode>"R$"\ #,##0</c:formatCode>
                <c:ptCount val="12"/>
                <c:pt idx="0">
                  <c:v>60</c:v>
                </c:pt>
                <c:pt idx="1">
                  <c:v>66.666666666666671</c:v>
                </c:pt>
                <c:pt idx="2">
                  <c:v>157.5</c:v>
                </c:pt>
                <c:pt idx="3">
                  <c:v>276.33333333333331</c:v>
                </c:pt>
                <c:pt idx="4">
                  <c:v>584</c:v>
                </c:pt>
                <c:pt idx="5">
                  <c:v>782.08333333333326</c:v>
                </c:pt>
                <c:pt idx="6">
                  <c:v>905.25000000000011</c:v>
                </c:pt>
                <c:pt idx="7">
                  <c:v>1015.75</c:v>
                </c:pt>
                <c:pt idx="8">
                  <c:v>1138.9166666666667</c:v>
                </c:pt>
                <c:pt idx="9">
                  <c:v>1226.4166666666665</c:v>
                </c:pt>
                <c:pt idx="10">
                  <c:v>1339.1666666666667</c:v>
                </c:pt>
                <c:pt idx="11">
                  <c:v>1375.75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4-4DEB-B5FE-FB2ED9E629A5}"/>
            </c:ext>
          </c:extLst>
        </c:ser>
        <c:ser>
          <c:idx val="2"/>
          <c:order val="2"/>
          <c:tx>
            <c:strRef>
              <c:f>Dashboard!I44</c:f>
              <c:strCache>
                <c:ptCount val="1"/>
                <c:pt idx="0">
                  <c:v>Não renov.</c:v>
                </c:pt>
              </c:strCache>
            </c:strRef>
          </c:tx>
          <c:spPr>
            <a:ln w="22225">
              <a:solidFill>
                <a:srgbClr val="98967C"/>
              </a:solidFill>
              <a:prstDash val="solid"/>
            </a:ln>
          </c:spPr>
          <c:marker>
            <c:symbol val="none"/>
          </c:marker>
          <c:cat>
            <c:numRef>
              <c:f>Dashboard!$E$45:$E$56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Dashboard!$I$45:$I$56</c:f>
              <c:numCache>
                <c:formatCode>"R$"\ #,##0</c:formatCode>
                <c:ptCount val="12"/>
                <c:pt idx="0">
                  <c:v>0.41666666666666669</c:v>
                </c:pt>
                <c:pt idx="1">
                  <c:v>62.416666666666664</c:v>
                </c:pt>
                <c:pt idx="2">
                  <c:v>433.41666666666669</c:v>
                </c:pt>
                <c:pt idx="3">
                  <c:v>332.08333333333337</c:v>
                </c:pt>
                <c:pt idx="4">
                  <c:v>155.33333333333331</c:v>
                </c:pt>
                <c:pt idx="5">
                  <c:v>373.08333333333331</c:v>
                </c:pt>
                <c:pt idx="6">
                  <c:v>425.08333333333331</c:v>
                </c:pt>
                <c:pt idx="7">
                  <c:v>408.08333333333331</c:v>
                </c:pt>
                <c:pt idx="8">
                  <c:v>402.08333333333331</c:v>
                </c:pt>
                <c:pt idx="9">
                  <c:v>522.41666666666663</c:v>
                </c:pt>
                <c:pt idx="10">
                  <c:v>411.41666666666663</c:v>
                </c:pt>
                <c:pt idx="11">
                  <c:v>472.41666666666663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B4-4DEB-B5FE-FB2ED9E6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59038409323503"/>
          <c:y val="0.93814337270341208"/>
          <c:w val="0.70941247728649304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MRR por plano · renovável × não renovável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Dashboard!AC19</c:f>
              <c:strCache>
                <c:ptCount val="1"/>
                <c:pt idx="0">
                  <c:v>Renovável</c:v>
                </c:pt>
              </c:strCache>
            </c:strRef>
          </c:tx>
          <c:spPr>
            <a:solidFill>
              <a:srgbClr val="43432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Dashboard!$Z$20:$Z$22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Dashboard!$AC$20:$AC$22</c:f>
              <c:numCache>
                <c:formatCode>"R$"\ #,##0</c:formatCode>
                <c:ptCount val="3"/>
                <c:pt idx="0">
                  <c:v>52</c:v>
                </c:pt>
                <c:pt idx="1">
                  <c:v>110</c:v>
                </c:pt>
                <c:pt idx="2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A-4F5E-B28B-C65971ED16C5}"/>
            </c:ext>
          </c:extLst>
        </c:ser>
        <c:ser>
          <c:idx val="1"/>
          <c:order val="1"/>
          <c:tx>
            <c:strRef>
              <c:f>Dashboard!AD19</c:f>
              <c:strCache>
                <c:ptCount val="1"/>
                <c:pt idx="0">
                  <c:v>Não renov.</c:v>
                </c:pt>
              </c:strCache>
            </c:strRef>
          </c:tx>
          <c:spPr>
            <a:solidFill>
              <a:srgbClr val="98967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Dashboard!$Z$20:$Z$22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Dashboard!$AD$20:$AD$22</c:f>
              <c:numCache>
                <c:formatCode>"R$"\ #,##0</c:formatCode>
                <c:ptCount val="3"/>
                <c:pt idx="0">
                  <c:v>19</c:v>
                </c:pt>
                <c:pt idx="1">
                  <c:v>100</c:v>
                </c:pt>
                <c:pt idx="2">
                  <c:v>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2A-4F5E-B28B-C65971ED1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30930224631012032"/>
          <c:y val="0.93814337270341208"/>
          <c:w val="0.38659003988137847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Composição do MRR (R$)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Dashboard!AG19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605F47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Dashboard!$AE$20:$AE$23</c:f>
              <c:strCache>
                <c:ptCount val="4"/>
                <c:pt idx="0">
                  <c:v>Plano base</c:v>
                </c:pt>
                <c:pt idx="1">
                  <c:v>EA Play Season Pass</c:v>
                </c:pt>
                <c:pt idx="2">
                  <c:v>Minecraft Season Pass</c:v>
                </c:pt>
                <c:pt idx="3">
                  <c:v>(−) Cupons</c:v>
                </c:pt>
              </c:strCache>
            </c:strRef>
          </c:cat>
          <c:val>
            <c:numRef>
              <c:f>Dashboard!$AG$20:$AG$23</c:f>
              <c:numCache>
                <c:formatCode>"R$"\ #,##0</c:formatCode>
                <c:ptCount val="4"/>
                <c:pt idx="0">
                  <c:v>425</c:v>
                </c:pt>
                <c:pt idx="1">
                  <c:v>480</c:v>
                </c:pt>
                <c:pt idx="2">
                  <c:v>520</c:v>
                </c:pt>
                <c:pt idx="3">
                  <c:v>-295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0-4544-8D7E-1F0EF2D6F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Análise temporal · MRR no fim de cada mês (R$)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Dashboard!W44</c:f>
              <c:strCache>
                <c:ptCount val="1"/>
                <c:pt idx="0">
                  <c:v>MRR</c:v>
                </c:pt>
              </c:strCache>
            </c:strRef>
          </c:tx>
          <c:spPr>
            <a:ln w="34925">
              <a:solidFill>
                <a:srgbClr val="27271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72712"/>
              </a:solidFill>
              <a:ln>
                <a:solidFill>
                  <a:srgbClr val="272712"/>
                </a:solidFill>
                <a:prstDash val="solid"/>
              </a:ln>
            </c:spPr>
          </c:marker>
          <c:cat>
            <c:numRef>
              <c:f>Dashboard!$U$45:$U$56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Dashboard!$W$45:$W$56</c:f>
              <c:numCache>
                <c:formatCode>"R$"\ #,##0</c:formatCode>
                <c:ptCount val="12"/>
                <c:pt idx="0">
                  <c:v>60</c:v>
                </c:pt>
                <c:pt idx="1">
                  <c:v>122</c:v>
                </c:pt>
                <c:pt idx="2">
                  <c:v>497</c:v>
                </c:pt>
                <c:pt idx="3">
                  <c:v>415</c:v>
                </c:pt>
                <c:pt idx="4">
                  <c:v>441</c:v>
                </c:pt>
                <c:pt idx="5">
                  <c:v>756</c:v>
                </c:pt>
                <c:pt idx="6">
                  <c:v>863</c:v>
                </c:pt>
                <c:pt idx="7">
                  <c:v>914</c:v>
                </c:pt>
                <c:pt idx="8">
                  <c:v>969</c:v>
                </c:pt>
                <c:pt idx="9">
                  <c:v>1125</c:v>
                </c:pt>
                <c:pt idx="10">
                  <c:v>1069</c:v>
                </c:pt>
                <c:pt idx="11">
                  <c:v>1130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0-4E53-B03B-256032ABEC87}"/>
            </c:ext>
          </c:extLst>
        </c:ser>
        <c:ser>
          <c:idx val="1"/>
          <c:order val="1"/>
          <c:tx>
            <c:strRef>
              <c:f>Dashboard!X44</c:f>
              <c:strCache>
                <c:ptCount val="1"/>
                <c:pt idx="0">
                  <c:v>Renovável</c:v>
                </c:pt>
              </c:strCache>
            </c:strRef>
          </c:tx>
          <c:spPr>
            <a:ln w="22225">
              <a:solidFill>
                <a:srgbClr val="605F47"/>
              </a:solidFill>
              <a:prstDash val="solid"/>
            </a:ln>
          </c:spPr>
          <c:marker>
            <c:symbol val="none"/>
          </c:marker>
          <c:cat>
            <c:numRef>
              <c:f>Dashboard!$U$45:$U$56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Dashboard!$X$45:$X$56</c:f>
              <c:numCache>
                <c:formatCode>"R$"\ #,##0</c:formatCode>
                <c:ptCount val="12"/>
                <c:pt idx="0">
                  <c:v>60</c:v>
                </c:pt>
                <c:pt idx="1">
                  <c:v>60</c:v>
                </c:pt>
                <c:pt idx="2">
                  <c:v>64</c:v>
                </c:pt>
                <c:pt idx="3">
                  <c:v>119</c:v>
                </c:pt>
                <c:pt idx="4">
                  <c:v>386</c:v>
                </c:pt>
                <c:pt idx="5">
                  <c:v>527</c:v>
                </c:pt>
                <c:pt idx="6">
                  <c:v>582</c:v>
                </c:pt>
                <c:pt idx="7">
                  <c:v>637</c:v>
                </c:pt>
                <c:pt idx="8">
                  <c:v>692</c:v>
                </c:pt>
                <c:pt idx="9">
                  <c:v>692</c:v>
                </c:pt>
                <c:pt idx="10">
                  <c:v>747</c:v>
                </c:pt>
                <c:pt idx="11">
                  <c:v>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0-4E53-B03B-256032ABEC87}"/>
            </c:ext>
          </c:extLst>
        </c:ser>
        <c:ser>
          <c:idx val="2"/>
          <c:order val="2"/>
          <c:tx>
            <c:strRef>
              <c:f>Dashboard!Y44</c:f>
              <c:strCache>
                <c:ptCount val="1"/>
                <c:pt idx="0">
                  <c:v>Não renov.</c:v>
                </c:pt>
              </c:strCache>
            </c:strRef>
          </c:tx>
          <c:spPr>
            <a:ln w="22225">
              <a:solidFill>
                <a:srgbClr val="98967C"/>
              </a:solidFill>
              <a:prstDash val="solid"/>
            </a:ln>
          </c:spPr>
          <c:marker>
            <c:symbol val="none"/>
          </c:marker>
          <c:cat>
            <c:numRef>
              <c:f>Dashboard!$U$45:$U$56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Dashboard!$Y$45:$Y$56</c:f>
              <c:numCache>
                <c:formatCode>"R$"\ #,##0</c:formatCode>
                <c:ptCount val="12"/>
                <c:pt idx="0">
                  <c:v>0</c:v>
                </c:pt>
                <c:pt idx="1">
                  <c:v>62</c:v>
                </c:pt>
                <c:pt idx="2">
                  <c:v>433</c:v>
                </c:pt>
                <c:pt idx="3">
                  <c:v>296</c:v>
                </c:pt>
                <c:pt idx="4">
                  <c:v>55</c:v>
                </c:pt>
                <c:pt idx="5">
                  <c:v>229</c:v>
                </c:pt>
                <c:pt idx="6">
                  <c:v>281</c:v>
                </c:pt>
                <c:pt idx="7">
                  <c:v>277</c:v>
                </c:pt>
                <c:pt idx="8">
                  <c:v>277</c:v>
                </c:pt>
                <c:pt idx="9">
                  <c:v>433</c:v>
                </c:pt>
                <c:pt idx="10">
                  <c:v>322</c:v>
                </c:pt>
                <c:pt idx="11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0-4E53-B03B-256032ABE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32513210384511"/>
          <c:y val="0.93814337270341208"/>
          <c:w val="0.70941247728649304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MRR por plano · renovável × não renovável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Dashboard!AS19</c:f>
              <c:strCache>
                <c:ptCount val="1"/>
                <c:pt idx="0">
                  <c:v>Renovável</c:v>
                </c:pt>
              </c:strCache>
            </c:strRef>
          </c:tx>
          <c:spPr>
            <a:solidFill>
              <a:srgbClr val="43432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Dashboard!$AP$20:$AP$22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Dashboard!$AS$20:$AS$22</c:f>
              <c:numCache>
                <c:formatCode>"R$"\ #,##0</c:formatCode>
                <c:ptCount val="3"/>
                <c:pt idx="0">
                  <c:v>32.666666666666664</c:v>
                </c:pt>
                <c:pt idx="1">
                  <c:v>114.66666666666667</c:v>
                </c:pt>
                <c:pt idx="2">
                  <c:v>353.33333333333331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F-49DA-B50F-1537DFBD8BA0}"/>
            </c:ext>
          </c:extLst>
        </c:ser>
        <c:ser>
          <c:idx val="1"/>
          <c:order val="1"/>
          <c:tx>
            <c:strRef>
              <c:f>Dashboard!AT19</c:f>
              <c:strCache>
                <c:ptCount val="1"/>
                <c:pt idx="0">
                  <c:v>Não renov.</c:v>
                </c:pt>
              </c:strCache>
            </c:strRef>
          </c:tx>
          <c:spPr>
            <a:solidFill>
              <a:srgbClr val="98967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Dashboard!$AP$20:$AP$22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Dashboard!$AT$20:$AT$22</c:f>
              <c:numCache>
                <c:formatCode>"R$"\ #,##0</c:formatCode>
                <c:ptCount val="3"/>
                <c:pt idx="0">
                  <c:v>2.6666666666666665</c:v>
                </c:pt>
                <c:pt idx="1">
                  <c:v>0</c:v>
                </c:pt>
                <c:pt idx="2">
                  <c:v>68.666666666666671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5F-49DA-B50F-1537DFBD8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30410744111531512"/>
          <c:y val="0.93814337270341208"/>
          <c:w val="0.38659003988137847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Composição do MRR (R$)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Dashboard!AW19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605F47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Dashboard!$AU$20:$AU$23</c:f>
              <c:strCache>
                <c:ptCount val="4"/>
                <c:pt idx="0">
                  <c:v>Plano base</c:v>
                </c:pt>
                <c:pt idx="1">
                  <c:v>EA Play Season Pass</c:v>
                </c:pt>
                <c:pt idx="2">
                  <c:v>Minecraft Season Pass</c:v>
                </c:pt>
                <c:pt idx="3">
                  <c:v>(−) Cupons</c:v>
                </c:pt>
              </c:strCache>
            </c:strRef>
          </c:cat>
          <c:val>
            <c:numRef>
              <c:f>Dashboard!$AW$20:$AW$23</c:f>
              <c:numCache>
                <c:formatCode>"R$"\ #,##0</c:formatCode>
                <c:ptCount val="4"/>
                <c:pt idx="0">
                  <c:v>221.66666666666666</c:v>
                </c:pt>
                <c:pt idx="1">
                  <c:v>230</c:v>
                </c:pt>
                <c:pt idx="2">
                  <c:v>293.33333333333331</c:v>
                </c:pt>
                <c:pt idx="3">
                  <c:v>-173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7-499D-9ABF-04470B71B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Análise temporal · MRR no fim de cada mês (R$)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Dashboard!AM44</c:f>
              <c:strCache>
                <c:ptCount val="1"/>
                <c:pt idx="0">
                  <c:v>MRR</c:v>
                </c:pt>
              </c:strCache>
            </c:strRef>
          </c:tx>
          <c:spPr>
            <a:ln w="34925">
              <a:solidFill>
                <a:srgbClr val="27271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72712"/>
              </a:solidFill>
              <a:ln>
                <a:solidFill>
                  <a:srgbClr val="272712"/>
                </a:solidFill>
                <a:prstDash val="solid"/>
              </a:ln>
            </c:spPr>
          </c:marker>
          <c:cat>
            <c:numRef>
              <c:f>Dashboard!$AK$45:$AK$56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Dashboard!$AM$45:$AM$56</c:f>
              <c:numCache>
                <c:formatCode>"R$"\ #,##0</c:formatCode>
                <c:ptCount val="12"/>
                <c:pt idx="0">
                  <c:v>0</c:v>
                </c:pt>
                <c:pt idx="1">
                  <c:v>6.666666666666667</c:v>
                </c:pt>
                <c:pt idx="2">
                  <c:v>82</c:v>
                </c:pt>
                <c:pt idx="3">
                  <c:v>166.33333333333334</c:v>
                </c:pt>
                <c:pt idx="4">
                  <c:v>255.66666666666666</c:v>
                </c:pt>
                <c:pt idx="5">
                  <c:v>345.66666666666669</c:v>
                </c:pt>
                <c:pt idx="6">
                  <c:v>398.66666666666669</c:v>
                </c:pt>
                <c:pt idx="7">
                  <c:v>421</c:v>
                </c:pt>
                <c:pt idx="8">
                  <c:v>468</c:v>
                </c:pt>
                <c:pt idx="9">
                  <c:v>504.66666666666669</c:v>
                </c:pt>
                <c:pt idx="10">
                  <c:v>543.33333333333337</c:v>
                </c:pt>
                <c:pt idx="11">
                  <c:v>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C-4843-A515-954E5A496444}"/>
            </c:ext>
          </c:extLst>
        </c:ser>
        <c:ser>
          <c:idx val="1"/>
          <c:order val="1"/>
          <c:tx>
            <c:strRef>
              <c:f>Dashboard!AN44</c:f>
              <c:strCache>
                <c:ptCount val="1"/>
                <c:pt idx="0">
                  <c:v>Renovável</c:v>
                </c:pt>
              </c:strCache>
            </c:strRef>
          </c:tx>
          <c:spPr>
            <a:ln w="22225">
              <a:solidFill>
                <a:srgbClr val="605F47"/>
              </a:solidFill>
              <a:prstDash val="solid"/>
            </a:ln>
          </c:spPr>
          <c:marker>
            <c:symbol val="none"/>
          </c:marker>
          <c:cat>
            <c:numRef>
              <c:f>Dashboard!$AK$45:$AK$56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Dashboard!$AN$45:$AN$56</c:f>
              <c:numCache>
                <c:formatCode>"R$"\ #,##0</c:formatCode>
                <c:ptCount val="12"/>
                <c:pt idx="0">
                  <c:v>0</c:v>
                </c:pt>
                <c:pt idx="1">
                  <c:v>6.666666666666667</c:v>
                </c:pt>
                <c:pt idx="2">
                  <c:v>82</c:v>
                </c:pt>
                <c:pt idx="3">
                  <c:v>130.66666666666666</c:v>
                </c:pt>
                <c:pt idx="4">
                  <c:v>171.33333333333334</c:v>
                </c:pt>
                <c:pt idx="5">
                  <c:v>219.66666666666666</c:v>
                </c:pt>
                <c:pt idx="6">
                  <c:v>272.66666666666669</c:v>
                </c:pt>
                <c:pt idx="7">
                  <c:v>308</c:v>
                </c:pt>
                <c:pt idx="8">
                  <c:v>361</c:v>
                </c:pt>
                <c:pt idx="9">
                  <c:v>433.33333333333331</c:v>
                </c:pt>
                <c:pt idx="10">
                  <c:v>472</c:v>
                </c:pt>
                <c:pt idx="11">
                  <c:v>500.66666666666669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C-4843-A515-954E5A496444}"/>
            </c:ext>
          </c:extLst>
        </c:ser>
        <c:ser>
          <c:idx val="2"/>
          <c:order val="2"/>
          <c:tx>
            <c:strRef>
              <c:f>Dashboard!AO44</c:f>
              <c:strCache>
                <c:ptCount val="1"/>
                <c:pt idx="0">
                  <c:v>Não renov.</c:v>
                </c:pt>
              </c:strCache>
            </c:strRef>
          </c:tx>
          <c:spPr>
            <a:ln w="22225">
              <a:solidFill>
                <a:srgbClr val="98967C"/>
              </a:solidFill>
              <a:prstDash val="solid"/>
            </a:ln>
          </c:spPr>
          <c:marker>
            <c:symbol val="none"/>
          </c:marker>
          <c:cat>
            <c:numRef>
              <c:f>Dashboard!$AK$45:$AK$56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Dashboard!$AO$45:$AO$56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35.666666666666664</c:v>
                </c:pt>
                <c:pt idx="4">
                  <c:v>84.333333333333329</c:v>
                </c:pt>
                <c:pt idx="5">
                  <c:v>126</c:v>
                </c:pt>
                <c:pt idx="6">
                  <c:v>126</c:v>
                </c:pt>
                <c:pt idx="7">
                  <c:v>113</c:v>
                </c:pt>
                <c:pt idx="8">
                  <c:v>107</c:v>
                </c:pt>
                <c:pt idx="9">
                  <c:v>71.333333333333329</c:v>
                </c:pt>
                <c:pt idx="10">
                  <c:v>71.333333333333329</c:v>
                </c:pt>
                <c:pt idx="11">
                  <c:v>71.333333333333329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C-4843-A515-954E5A496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29376135675348"/>
          <c:y val="0.93814337270341208"/>
          <c:w val="0.70941247728649304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MRR por plano · renovável × não renovável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Dashboard!BI19</c:f>
              <c:strCache>
                <c:ptCount val="1"/>
                <c:pt idx="0">
                  <c:v>Renovável</c:v>
                </c:pt>
              </c:strCache>
            </c:strRef>
          </c:tx>
          <c:spPr>
            <a:solidFill>
              <a:srgbClr val="43432D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Dashboard!$BF$20:$BF$22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Dashboard!$BI$20:$BI$22</c:f>
              <c:numCache>
                <c:formatCode>"R$"\ #,##0</c:formatCode>
                <c:ptCount val="3"/>
                <c:pt idx="0">
                  <c:v>7.916666666666667</c:v>
                </c:pt>
                <c:pt idx="1">
                  <c:v>31.5</c:v>
                </c:pt>
                <c:pt idx="2">
                  <c:v>88.666666666666671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20-414D-B3CC-306188BD59B5}"/>
            </c:ext>
          </c:extLst>
        </c:ser>
        <c:ser>
          <c:idx val="1"/>
          <c:order val="1"/>
          <c:tx>
            <c:strRef>
              <c:f>Dashboard!BJ19</c:f>
              <c:strCache>
                <c:ptCount val="1"/>
                <c:pt idx="0">
                  <c:v>Não renov.</c:v>
                </c:pt>
              </c:strCache>
            </c:strRef>
          </c:tx>
          <c:spPr>
            <a:solidFill>
              <a:srgbClr val="98967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Dashboard!$BF$20:$BF$22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Dashboard!$BJ$20:$BJ$22</c:f>
              <c:numCache>
                <c:formatCode>"R$"\ #,##0</c:formatCode>
                <c:ptCount val="3"/>
                <c:pt idx="0">
                  <c:v>2.0833333333333335</c:v>
                </c:pt>
                <c:pt idx="1">
                  <c:v>5.833333333333333</c:v>
                </c:pt>
                <c:pt idx="2">
                  <c:v>10.166666666666666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20-414D-B3CC-306188BD5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legend>
      <c:legendPos val="b"/>
      <c:layout>
        <c:manualLayout>
          <c:xMode val="edge"/>
          <c:yMode val="edge"/>
          <c:x val="0.32228925929713331"/>
          <c:y val="0.93814337270341208"/>
          <c:w val="0.38659003988137847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Composição do MRR (R$)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Dashboard!BM19</c:f>
              <c:strCache>
                <c:ptCount val="1"/>
                <c:pt idx="0">
                  <c:v>MRR</c:v>
                </c:pt>
              </c:strCache>
            </c:strRef>
          </c:tx>
          <c:spPr>
            <a:solidFill>
              <a:srgbClr val="605F47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272712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Dashboard!$BK$20:$BK$23</c:f>
              <c:strCache>
                <c:ptCount val="4"/>
                <c:pt idx="0">
                  <c:v>Plano base</c:v>
                </c:pt>
                <c:pt idx="1">
                  <c:v>EA Play Season Pass</c:v>
                </c:pt>
                <c:pt idx="2">
                  <c:v>Minecraft Season Pass</c:v>
                </c:pt>
                <c:pt idx="3">
                  <c:v>(−) Cupons</c:v>
                </c:pt>
              </c:strCache>
            </c:strRef>
          </c:cat>
          <c:val>
            <c:numRef>
              <c:f>Dashboard!$BM$20:$BM$23</c:f>
              <c:numCache>
                <c:formatCode>"R$"\ #,##0</c:formatCode>
                <c:ptCount val="4"/>
                <c:pt idx="0">
                  <c:v>57.5</c:v>
                </c:pt>
                <c:pt idx="1">
                  <c:v>50</c:v>
                </c:pt>
                <c:pt idx="2">
                  <c:v>78.333333333333329</c:v>
                </c:pt>
                <c:pt idx="3">
                  <c:v>-39.666666666666664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9-4F3B-8639-D0C6F7DA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max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>
                <a:solidFill>
                  <a:srgbClr val="272712"/>
                </a:solidFill>
                <a:latin typeface="Arial"/>
              </a:defRPr>
            </a:pPr>
            <a:r>
              <a:rPr lang="en-US" sz="1000" b="1">
                <a:solidFill>
                  <a:srgbClr val="272712"/>
                </a:solidFill>
                <a:latin typeface="Arial"/>
              </a:rPr>
              <a:t>Análise temporal · MRR no fim de cada mês (R$)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Dashboard!BC44</c:f>
              <c:strCache>
                <c:ptCount val="1"/>
                <c:pt idx="0">
                  <c:v>MRR</c:v>
                </c:pt>
              </c:strCache>
            </c:strRef>
          </c:tx>
          <c:spPr>
            <a:ln w="34925">
              <a:solidFill>
                <a:srgbClr val="272712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72712"/>
              </a:solidFill>
              <a:ln>
                <a:solidFill>
                  <a:srgbClr val="272712"/>
                </a:solidFill>
                <a:prstDash val="solid"/>
              </a:ln>
            </c:spPr>
          </c:marker>
          <c:cat>
            <c:numRef>
              <c:f>Dashboard!$BA$45:$BA$56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Dashboard!$BC$45:$BC$56</c:f>
              <c:numCache>
                <c:formatCode>"R$"\ #,##0</c:formatCode>
                <c:ptCount val="12"/>
                <c:pt idx="0">
                  <c:v>0.41666666666666669</c:v>
                </c:pt>
                <c:pt idx="1">
                  <c:v>0.41666666666666669</c:v>
                </c:pt>
                <c:pt idx="2">
                  <c:v>11.916666666666666</c:v>
                </c:pt>
                <c:pt idx="3">
                  <c:v>27.083333333333332</c:v>
                </c:pt>
                <c:pt idx="4">
                  <c:v>42.666666666666664</c:v>
                </c:pt>
                <c:pt idx="5">
                  <c:v>53.5</c:v>
                </c:pt>
                <c:pt idx="6">
                  <c:v>68.666666666666671</c:v>
                </c:pt>
                <c:pt idx="7">
                  <c:v>88.833333333333329</c:v>
                </c:pt>
                <c:pt idx="8">
                  <c:v>104</c:v>
                </c:pt>
                <c:pt idx="9">
                  <c:v>119.16666666666667</c:v>
                </c:pt>
                <c:pt idx="10">
                  <c:v>138.25</c:v>
                </c:pt>
                <c:pt idx="11">
                  <c:v>146.16666666666666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A-44C0-9612-C8C2FDF39C8F}"/>
            </c:ext>
          </c:extLst>
        </c:ser>
        <c:ser>
          <c:idx val="1"/>
          <c:order val="1"/>
          <c:tx>
            <c:strRef>
              <c:f>Dashboard!BD44</c:f>
              <c:strCache>
                <c:ptCount val="1"/>
                <c:pt idx="0">
                  <c:v>Renovável</c:v>
                </c:pt>
              </c:strCache>
            </c:strRef>
          </c:tx>
          <c:spPr>
            <a:ln w="22225">
              <a:solidFill>
                <a:srgbClr val="605F47"/>
              </a:solidFill>
              <a:prstDash val="solid"/>
            </a:ln>
          </c:spPr>
          <c:marker>
            <c:symbol val="none"/>
          </c:marker>
          <c:cat>
            <c:numRef>
              <c:f>Dashboard!$BA$45:$BA$56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Dashboard!$BD$45:$BD$56</c:f>
              <c:numCache>
                <c:formatCode>"R$"\ 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11.5</c:v>
                </c:pt>
                <c:pt idx="3">
                  <c:v>26.666666666666668</c:v>
                </c:pt>
                <c:pt idx="4">
                  <c:v>26.666666666666668</c:v>
                </c:pt>
                <c:pt idx="5">
                  <c:v>35.416666666666664</c:v>
                </c:pt>
                <c:pt idx="6">
                  <c:v>50.583333333333336</c:v>
                </c:pt>
                <c:pt idx="7">
                  <c:v>70.75</c:v>
                </c:pt>
                <c:pt idx="8">
                  <c:v>85.916666666666671</c:v>
                </c:pt>
                <c:pt idx="9">
                  <c:v>101.08333333333333</c:v>
                </c:pt>
                <c:pt idx="10">
                  <c:v>120.16666666666667</c:v>
                </c:pt>
                <c:pt idx="11">
                  <c:v>128.08333333333334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9A-44C0-9612-C8C2FDF39C8F}"/>
            </c:ext>
          </c:extLst>
        </c:ser>
        <c:ser>
          <c:idx val="2"/>
          <c:order val="2"/>
          <c:tx>
            <c:strRef>
              <c:f>Dashboard!BE44</c:f>
              <c:strCache>
                <c:ptCount val="1"/>
                <c:pt idx="0">
                  <c:v>Não renov.</c:v>
                </c:pt>
              </c:strCache>
            </c:strRef>
          </c:tx>
          <c:spPr>
            <a:ln w="22225">
              <a:solidFill>
                <a:srgbClr val="98967C"/>
              </a:solidFill>
              <a:prstDash val="solid"/>
            </a:ln>
          </c:spPr>
          <c:marker>
            <c:symbol val="none"/>
          </c:marker>
          <c:cat>
            <c:numRef>
              <c:f>Dashboard!$BA$45:$BA$56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Dashboard!$BE$45:$BE$56</c:f>
              <c:numCache>
                <c:formatCode>"R$"\ #,##0</c:formatCode>
                <c:ptCount val="12"/>
                <c:pt idx="0">
                  <c:v>0.41666666666666669</c:v>
                </c:pt>
                <c:pt idx="1">
                  <c:v>0.41666666666666669</c:v>
                </c:pt>
                <c:pt idx="2">
                  <c:v>0.41666666666666669</c:v>
                </c:pt>
                <c:pt idx="3">
                  <c:v>0.41666666666666669</c:v>
                </c:pt>
                <c:pt idx="4">
                  <c:v>16</c:v>
                </c:pt>
                <c:pt idx="5">
                  <c:v>18.083333333333332</c:v>
                </c:pt>
                <c:pt idx="6">
                  <c:v>18.083333333333332</c:v>
                </c:pt>
                <c:pt idx="7">
                  <c:v>18.083333333333332</c:v>
                </c:pt>
                <c:pt idx="8">
                  <c:v>18.083333333333332</c:v>
                </c:pt>
                <c:pt idx="9">
                  <c:v>18.083333333333332</c:v>
                </c:pt>
                <c:pt idx="10">
                  <c:v>18.083333333333332</c:v>
                </c:pt>
                <c:pt idx="11">
                  <c:v>18.083333333333332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9A-44C0-9612-C8C2FDF39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mmm/yy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4E3D8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 b="0">
                <a:solidFill>
                  <a:srgbClr val="605F47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998872156895506"/>
          <c:y val="0.93814337270341208"/>
          <c:w val="0.70941247728649304"/>
          <c:h val="6.1856627296587925E-2"/>
        </c:manualLayout>
      </c:layout>
      <c:overlay val="1"/>
      <c:txPr>
        <a:bodyPr/>
        <a:lstStyle/>
        <a:p>
          <a:pPr>
            <a:defRPr sz="800" b="0">
              <a:solidFill>
                <a:srgbClr val="605F47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solidFill>
        <a:srgbClr val="D3D2C3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25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76200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76200</xdr:colOff>
      <xdr:row>25</xdr:row>
      <xdr:rowOff>0</xdr:rowOff>
    </xdr:from>
    <xdr:to>
      <xdr:col>19</xdr:col>
      <xdr:colOff>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25</xdr:row>
      <xdr:rowOff>0</xdr:rowOff>
    </xdr:from>
    <xdr:to>
      <xdr:col>25</xdr:col>
      <xdr:colOff>0</xdr:colOff>
      <xdr:row>41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76200</xdr:colOff>
      <xdr:row>25</xdr:row>
      <xdr:rowOff>0</xdr:rowOff>
    </xdr:from>
    <xdr:to>
      <xdr:col>30</xdr:col>
      <xdr:colOff>0</xdr:colOff>
      <xdr:row>41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30</xdr:col>
      <xdr:colOff>76200</xdr:colOff>
      <xdr:row>25</xdr:row>
      <xdr:rowOff>0</xdr:rowOff>
    </xdr:from>
    <xdr:to>
      <xdr:col>35</xdr:col>
      <xdr:colOff>0</xdr:colOff>
      <xdr:row>41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36</xdr:col>
      <xdr:colOff>0</xdr:colOff>
      <xdr:row>25</xdr:row>
      <xdr:rowOff>0</xdr:rowOff>
    </xdr:from>
    <xdr:to>
      <xdr:col>41</xdr:col>
      <xdr:colOff>0</xdr:colOff>
      <xdr:row>41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41</xdr:col>
      <xdr:colOff>76200</xdr:colOff>
      <xdr:row>25</xdr:row>
      <xdr:rowOff>0</xdr:rowOff>
    </xdr:from>
    <xdr:to>
      <xdr:col>46</xdr:col>
      <xdr:colOff>0</xdr:colOff>
      <xdr:row>41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46</xdr:col>
      <xdr:colOff>76200</xdr:colOff>
      <xdr:row>25</xdr:row>
      <xdr:rowOff>0</xdr:rowOff>
    </xdr:from>
    <xdr:to>
      <xdr:col>51</xdr:col>
      <xdr:colOff>0</xdr:colOff>
      <xdr:row>41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52</xdr:col>
      <xdr:colOff>0</xdr:colOff>
      <xdr:row>25</xdr:row>
      <xdr:rowOff>0</xdr:rowOff>
    </xdr:from>
    <xdr:to>
      <xdr:col>57</xdr:col>
      <xdr:colOff>0</xdr:colOff>
      <xdr:row>41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57</xdr:col>
      <xdr:colOff>76200</xdr:colOff>
      <xdr:row>25</xdr:row>
      <xdr:rowOff>0</xdr:rowOff>
    </xdr:from>
    <xdr:to>
      <xdr:col>62</xdr:col>
      <xdr:colOff>0</xdr:colOff>
      <xdr:row>41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62</xdr:col>
      <xdr:colOff>76200</xdr:colOff>
      <xdr:row>25</xdr:row>
      <xdr:rowOff>0</xdr:rowOff>
    </xdr:from>
    <xdr:to>
      <xdr:col>67</xdr:col>
      <xdr:colOff>0</xdr:colOff>
      <xdr:row>41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432D"/>
    <pageSetUpPr fitToPage="1"/>
  </sheetPr>
  <dimension ref="A1:BQ56"/>
  <sheetViews>
    <sheetView showGridLines="0" tabSelected="1" zoomScale="85" workbookViewId="0">
      <pane xSplit="4" topLeftCell="F1" activePane="topRight" state="frozen"/>
      <selection pane="topRight" activeCell="G1" sqref="G1:G1048576"/>
    </sheetView>
  </sheetViews>
  <sheetFormatPr defaultRowHeight="15"/>
  <cols>
    <col min="1" max="1" width="2" style="4" customWidth="1"/>
    <col min="2" max="2" width="17" style="4" customWidth="1"/>
    <col min="3" max="3" width="11" style="4" customWidth="1"/>
    <col min="4" max="4" width="2" style="4" customWidth="1"/>
    <col min="5" max="19" width="11" style="5" customWidth="1"/>
    <col min="20" max="20" width="2" style="5" customWidth="1"/>
    <col min="21" max="35" width="11" style="5" customWidth="1"/>
    <col min="36" max="36" width="2" style="5" customWidth="1"/>
    <col min="37" max="51" width="11" style="5" customWidth="1"/>
    <col min="52" max="52" width="2" style="5" customWidth="1"/>
    <col min="53" max="67" width="11" style="5" customWidth="1"/>
    <col min="68" max="68" width="2" style="5" customWidth="1"/>
    <col min="69" max="69" width="13" style="5" customWidth="1"/>
  </cols>
  <sheetData>
    <row r="1" spans="2:67" ht="6" customHeight="1"/>
    <row r="2" spans="2:67" ht="30" customHeight="1">
      <c r="B2" s="6" t="s">
        <v>0</v>
      </c>
      <c r="E2" s="43" t="s">
        <v>1</v>
      </c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U2" s="43" t="s">
        <v>2</v>
      </c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K2" s="43" t="s">
        <v>3</v>
      </c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BA2" s="43" t="s">
        <v>4</v>
      </c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</row>
    <row r="3" spans="2:67" ht="20.100000000000001" customHeight="1">
      <c r="B3" s="7" t="s">
        <v>5</v>
      </c>
      <c r="E3" s="35" t="s">
        <v>6</v>
      </c>
      <c r="F3" s="30"/>
      <c r="G3" s="29">
        <f>p_From</f>
        <v>45292</v>
      </c>
      <c r="H3" s="30"/>
      <c r="I3" s="13" t="s">
        <v>7</v>
      </c>
      <c r="J3" s="29">
        <f>ref_Date</f>
        <v>45642</v>
      </c>
      <c r="K3" s="30"/>
      <c r="M3" s="35" t="s">
        <v>8</v>
      </c>
      <c r="N3" s="30"/>
      <c r="O3" s="30"/>
      <c r="P3" s="8">
        <f>COUNTIFS(b_Tipo,"*")</f>
        <v>295</v>
      </c>
      <c r="Q3" s="41" t="s">
        <v>9</v>
      </c>
      <c r="R3" s="30"/>
      <c r="S3" s="30"/>
      <c r="U3" s="35" t="s">
        <v>6</v>
      </c>
      <c r="V3" s="30"/>
      <c r="W3" s="29">
        <f>p_From</f>
        <v>45292</v>
      </c>
      <c r="X3" s="30"/>
      <c r="Y3" s="13" t="s">
        <v>7</v>
      </c>
      <c r="Z3" s="29">
        <f>ref_Date</f>
        <v>45642</v>
      </c>
      <c r="AA3" s="30"/>
      <c r="AC3" s="35" t="s">
        <v>8</v>
      </c>
      <c r="AD3" s="30"/>
      <c r="AE3" s="30"/>
      <c r="AF3" s="8">
        <f>COUNTIFS(b_Tipo,"Monthly")</f>
        <v>139</v>
      </c>
      <c r="AG3" s="41" t="s">
        <v>9</v>
      </c>
      <c r="AH3" s="30"/>
      <c r="AI3" s="30"/>
      <c r="AK3" s="35" t="s">
        <v>6</v>
      </c>
      <c r="AL3" s="30"/>
      <c r="AM3" s="29">
        <f>p_From</f>
        <v>45292</v>
      </c>
      <c r="AN3" s="30"/>
      <c r="AO3" s="13" t="s">
        <v>7</v>
      </c>
      <c r="AP3" s="29">
        <f>ref_Date</f>
        <v>45642</v>
      </c>
      <c r="AQ3" s="30"/>
      <c r="AS3" s="35" t="s">
        <v>8</v>
      </c>
      <c r="AT3" s="30"/>
      <c r="AU3" s="30"/>
      <c r="AV3" s="8">
        <f>COUNTIFS(b_Tipo,"Quarterly")</f>
        <v>85</v>
      </c>
      <c r="AW3" s="41" t="s">
        <v>9</v>
      </c>
      <c r="AX3" s="30"/>
      <c r="AY3" s="30"/>
      <c r="BA3" s="35" t="s">
        <v>6</v>
      </c>
      <c r="BB3" s="30"/>
      <c r="BC3" s="29">
        <f>p_From</f>
        <v>45292</v>
      </c>
      <c r="BD3" s="30"/>
      <c r="BE3" s="13" t="s">
        <v>7</v>
      </c>
      <c r="BF3" s="29">
        <f>ref_Date</f>
        <v>45642</v>
      </c>
      <c r="BG3" s="30"/>
      <c r="BI3" s="35" t="s">
        <v>8</v>
      </c>
      <c r="BJ3" s="30"/>
      <c r="BK3" s="30"/>
      <c r="BL3" s="8">
        <f>COUNTIFS(b_Tipo,"Annual")</f>
        <v>71</v>
      </c>
      <c r="BM3" s="41" t="s">
        <v>9</v>
      </c>
      <c r="BN3" s="30"/>
      <c r="BO3" s="30"/>
    </row>
    <row r="5" spans="2:67">
      <c r="B5" s="9" t="s">
        <v>10</v>
      </c>
      <c r="E5" s="38" t="s">
        <v>11</v>
      </c>
      <c r="F5" s="39"/>
      <c r="G5" s="39"/>
      <c r="H5" s="38" t="s">
        <v>12</v>
      </c>
      <c r="I5" s="39"/>
      <c r="J5" s="39"/>
      <c r="K5" s="38" t="s">
        <v>13</v>
      </c>
      <c r="L5" s="39"/>
      <c r="M5" s="39"/>
      <c r="N5" s="38" t="s">
        <v>14</v>
      </c>
      <c r="O5" s="39"/>
      <c r="P5" s="39"/>
      <c r="Q5" s="38" t="s">
        <v>15</v>
      </c>
      <c r="R5" s="39"/>
      <c r="S5" s="39"/>
      <c r="U5" s="38" t="s">
        <v>11</v>
      </c>
      <c r="V5" s="39"/>
      <c r="W5" s="39"/>
      <c r="X5" s="38" t="s">
        <v>12</v>
      </c>
      <c r="Y5" s="39"/>
      <c r="Z5" s="39"/>
      <c r="AA5" s="38" t="s">
        <v>13</v>
      </c>
      <c r="AB5" s="39"/>
      <c r="AC5" s="39"/>
      <c r="AD5" s="38" t="s">
        <v>14</v>
      </c>
      <c r="AE5" s="39"/>
      <c r="AF5" s="39"/>
      <c r="AG5" s="38" t="s">
        <v>15</v>
      </c>
      <c r="AH5" s="39"/>
      <c r="AI5" s="39"/>
      <c r="AK5" s="38" t="s">
        <v>11</v>
      </c>
      <c r="AL5" s="39"/>
      <c r="AM5" s="39"/>
      <c r="AN5" s="38" t="s">
        <v>12</v>
      </c>
      <c r="AO5" s="39"/>
      <c r="AP5" s="39"/>
      <c r="AQ5" s="38" t="s">
        <v>13</v>
      </c>
      <c r="AR5" s="39"/>
      <c r="AS5" s="39"/>
      <c r="AT5" s="38" t="s">
        <v>14</v>
      </c>
      <c r="AU5" s="39"/>
      <c r="AV5" s="39"/>
      <c r="AW5" s="38" t="s">
        <v>15</v>
      </c>
      <c r="AX5" s="39"/>
      <c r="AY5" s="39"/>
      <c r="BA5" s="38" t="s">
        <v>11</v>
      </c>
      <c r="BB5" s="39"/>
      <c r="BC5" s="39"/>
      <c r="BD5" s="38" t="s">
        <v>12</v>
      </c>
      <c r="BE5" s="39"/>
      <c r="BF5" s="39"/>
      <c r="BG5" s="38" t="s">
        <v>13</v>
      </c>
      <c r="BH5" s="39"/>
      <c r="BI5" s="39"/>
      <c r="BJ5" s="38" t="s">
        <v>14</v>
      </c>
      <c r="BK5" s="39"/>
      <c r="BL5" s="39"/>
      <c r="BM5" s="38" t="s">
        <v>15</v>
      </c>
      <c r="BN5" s="39"/>
      <c r="BO5" s="39"/>
    </row>
    <row r="6" spans="2:67">
      <c r="B6" s="49" t="s">
        <v>16</v>
      </c>
      <c r="C6" s="50"/>
      <c r="E6" s="36">
        <f>G20</f>
        <v>180</v>
      </c>
      <c r="F6" s="30"/>
      <c r="G6" s="30"/>
      <c r="H6" s="47">
        <f>G21</f>
        <v>1848.1666666666667</v>
      </c>
      <c r="I6" s="30"/>
      <c r="J6" s="30"/>
      <c r="K6" s="47">
        <f>G22</f>
        <v>22178</v>
      </c>
      <c r="L6" s="30"/>
      <c r="M6" s="30"/>
      <c r="N6" s="57">
        <f>G23</f>
        <v>10.267592592592592</v>
      </c>
      <c r="O6" s="30"/>
      <c r="P6" s="30"/>
      <c r="Q6" s="48">
        <f>IFERROR(H20/G20,0)</f>
        <v>0.82222222222222219</v>
      </c>
      <c r="R6" s="30"/>
      <c r="S6" s="30"/>
      <c r="U6" s="36">
        <f>W20</f>
        <v>43</v>
      </c>
      <c r="V6" s="30"/>
      <c r="W6" s="30"/>
      <c r="X6" s="47">
        <f>W21</f>
        <v>1130</v>
      </c>
      <c r="Y6" s="30"/>
      <c r="Z6" s="30"/>
      <c r="AA6" s="47">
        <f>W22</f>
        <v>13560</v>
      </c>
      <c r="AB6" s="30"/>
      <c r="AC6" s="30"/>
      <c r="AD6" s="57">
        <f>W23</f>
        <v>26.279069767441861</v>
      </c>
      <c r="AE6" s="30"/>
      <c r="AF6" s="30"/>
      <c r="AG6" s="48">
        <f>IFERROR(X20/W20,0)</f>
        <v>0.65116279069767447</v>
      </c>
      <c r="AH6" s="30"/>
      <c r="AI6" s="30"/>
      <c r="AK6" s="36">
        <f>AM20</f>
        <v>66</v>
      </c>
      <c r="AL6" s="30"/>
      <c r="AM6" s="30"/>
      <c r="AN6" s="47">
        <f>AM21</f>
        <v>572</v>
      </c>
      <c r="AO6" s="30"/>
      <c r="AP6" s="30"/>
      <c r="AQ6" s="47">
        <f>AM22</f>
        <v>6864</v>
      </c>
      <c r="AR6" s="30"/>
      <c r="AS6" s="30"/>
      <c r="AT6" s="57">
        <f>AM23</f>
        <v>8.6666666666666661</v>
      </c>
      <c r="AU6" s="30"/>
      <c r="AV6" s="30"/>
      <c r="AW6" s="48">
        <f>IFERROR(AN20/AM20,0)</f>
        <v>0.90909090909090906</v>
      </c>
      <c r="AX6" s="30"/>
      <c r="AY6" s="30"/>
      <c r="BA6" s="36">
        <f>BC20</f>
        <v>71</v>
      </c>
      <c r="BB6" s="30"/>
      <c r="BC6" s="30"/>
      <c r="BD6" s="47">
        <f>BC21</f>
        <v>146.16666666666666</v>
      </c>
      <c r="BE6" s="30"/>
      <c r="BF6" s="30"/>
      <c r="BG6" s="47">
        <f>BC22</f>
        <v>1754</v>
      </c>
      <c r="BH6" s="30"/>
      <c r="BI6" s="30"/>
      <c r="BJ6" s="57">
        <f>BC23</f>
        <v>2.0586854460093895</v>
      </c>
      <c r="BK6" s="30"/>
      <c r="BL6" s="30"/>
      <c r="BM6" s="48">
        <f>IFERROR(BD20/BC20,0)</f>
        <v>0.84507042253521125</v>
      </c>
      <c r="BN6" s="30"/>
      <c r="BO6" s="30"/>
    </row>
    <row r="7" spans="2:67">
      <c r="B7" s="51"/>
      <c r="C7" s="50"/>
      <c r="E7" s="37"/>
      <c r="F7" s="30"/>
      <c r="G7" s="30"/>
      <c r="H7" s="37"/>
      <c r="I7" s="30"/>
      <c r="J7" s="30"/>
      <c r="K7" s="37"/>
      <c r="L7" s="30"/>
      <c r="M7" s="30"/>
      <c r="N7" s="37"/>
      <c r="O7" s="30"/>
      <c r="P7" s="30"/>
      <c r="Q7" s="37"/>
      <c r="R7" s="30"/>
      <c r="S7" s="30"/>
      <c r="U7" s="37"/>
      <c r="V7" s="30"/>
      <c r="W7" s="30"/>
      <c r="X7" s="37"/>
      <c r="Y7" s="30"/>
      <c r="Z7" s="30"/>
      <c r="AA7" s="37"/>
      <c r="AB7" s="30"/>
      <c r="AC7" s="30"/>
      <c r="AD7" s="37"/>
      <c r="AE7" s="30"/>
      <c r="AF7" s="30"/>
      <c r="AG7" s="37"/>
      <c r="AH7" s="30"/>
      <c r="AI7" s="30"/>
      <c r="AK7" s="37"/>
      <c r="AL7" s="30"/>
      <c r="AM7" s="30"/>
      <c r="AN7" s="37"/>
      <c r="AO7" s="30"/>
      <c r="AP7" s="30"/>
      <c r="AQ7" s="37"/>
      <c r="AR7" s="30"/>
      <c r="AS7" s="30"/>
      <c r="AT7" s="37"/>
      <c r="AU7" s="30"/>
      <c r="AV7" s="30"/>
      <c r="AW7" s="37"/>
      <c r="AX7" s="30"/>
      <c r="AY7" s="30"/>
      <c r="BA7" s="37"/>
      <c r="BB7" s="30"/>
      <c r="BC7" s="30"/>
      <c r="BD7" s="37"/>
      <c r="BE7" s="30"/>
      <c r="BF7" s="30"/>
      <c r="BG7" s="37"/>
      <c r="BH7" s="30"/>
      <c r="BI7" s="30"/>
      <c r="BJ7" s="37"/>
      <c r="BK7" s="30"/>
      <c r="BL7" s="30"/>
      <c r="BM7" s="37"/>
      <c r="BN7" s="30"/>
      <c r="BO7" s="30"/>
    </row>
    <row r="8" spans="2:67">
      <c r="E8" s="34" t="str">
        <f>"de "&amp;P3&amp;" na base"</f>
        <v>de 295 na base</v>
      </c>
      <c r="F8" s="30"/>
      <c r="G8" s="30"/>
      <c r="H8" s="34" t="s">
        <v>17</v>
      </c>
      <c r="I8" s="30"/>
      <c r="J8" s="30"/>
      <c r="K8" s="34" t="s">
        <v>18</v>
      </c>
      <c r="L8" s="30"/>
      <c r="M8" s="30"/>
      <c r="N8" s="34" t="s">
        <v>19</v>
      </c>
      <c r="O8" s="30"/>
      <c r="P8" s="30"/>
      <c r="Q8" s="34" t="s">
        <v>20</v>
      </c>
      <c r="R8" s="30"/>
      <c r="S8" s="30"/>
      <c r="U8" s="34" t="str">
        <f>"de "&amp;AF3&amp;" na base"</f>
        <v>de 139 na base</v>
      </c>
      <c r="V8" s="30"/>
      <c r="W8" s="30"/>
      <c r="X8" s="34" t="s">
        <v>17</v>
      </c>
      <c r="Y8" s="30"/>
      <c r="Z8" s="30"/>
      <c r="AA8" s="34" t="s">
        <v>18</v>
      </c>
      <c r="AB8" s="30"/>
      <c r="AC8" s="30"/>
      <c r="AD8" s="34" t="s">
        <v>19</v>
      </c>
      <c r="AE8" s="30"/>
      <c r="AF8" s="30"/>
      <c r="AG8" s="34" t="s">
        <v>20</v>
      </c>
      <c r="AH8" s="30"/>
      <c r="AI8" s="30"/>
      <c r="AK8" s="34" t="str">
        <f>"de "&amp;AV3&amp;" na base"</f>
        <v>de 85 na base</v>
      </c>
      <c r="AL8" s="30"/>
      <c r="AM8" s="30"/>
      <c r="AN8" s="34" t="s">
        <v>17</v>
      </c>
      <c r="AO8" s="30"/>
      <c r="AP8" s="30"/>
      <c r="AQ8" s="34" t="s">
        <v>18</v>
      </c>
      <c r="AR8" s="30"/>
      <c r="AS8" s="30"/>
      <c r="AT8" s="34" t="s">
        <v>19</v>
      </c>
      <c r="AU8" s="30"/>
      <c r="AV8" s="30"/>
      <c r="AW8" s="34" t="s">
        <v>20</v>
      </c>
      <c r="AX8" s="30"/>
      <c r="AY8" s="30"/>
      <c r="BA8" s="34" t="str">
        <f>"de "&amp;BL3&amp;" na base"</f>
        <v>de 71 na base</v>
      </c>
      <c r="BB8" s="30"/>
      <c r="BC8" s="30"/>
      <c r="BD8" s="34" t="s">
        <v>17</v>
      </c>
      <c r="BE8" s="30"/>
      <c r="BF8" s="30"/>
      <c r="BG8" s="34" t="s">
        <v>18</v>
      </c>
      <c r="BH8" s="30"/>
      <c r="BI8" s="30"/>
      <c r="BJ8" s="34" t="s">
        <v>19</v>
      </c>
      <c r="BK8" s="30"/>
      <c r="BL8" s="30"/>
      <c r="BM8" s="34" t="s">
        <v>20</v>
      </c>
      <c r="BN8" s="30"/>
      <c r="BO8" s="30"/>
    </row>
    <row r="9" spans="2:67">
      <c r="B9" s="49" t="s">
        <v>21</v>
      </c>
      <c r="C9" s="50"/>
    </row>
    <row r="10" spans="2:67">
      <c r="B10" s="51"/>
      <c r="C10" s="50"/>
      <c r="E10" s="45" t="s">
        <v>22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U10" s="45" t="s">
        <v>22</v>
      </c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K10" s="45" t="s">
        <v>22</v>
      </c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BA10" s="45" t="s">
        <v>22</v>
      </c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</row>
    <row r="11" spans="2:67">
      <c r="E11" s="46" t="s">
        <v>23</v>
      </c>
      <c r="F11" s="39"/>
      <c r="G11" s="39"/>
      <c r="H11" s="39"/>
      <c r="I11" s="39"/>
      <c r="J11" s="46" t="s">
        <v>24</v>
      </c>
      <c r="K11" s="39"/>
      <c r="L11" s="39"/>
      <c r="M11" s="39"/>
      <c r="N11" s="39"/>
      <c r="O11" s="46" t="s">
        <v>25</v>
      </c>
      <c r="P11" s="39"/>
      <c r="Q11" s="39"/>
      <c r="R11" s="39"/>
      <c r="S11" s="39"/>
      <c r="U11" s="46" t="s">
        <v>23</v>
      </c>
      <c r="V11" s="39"/>
      <c r="W11" s="39"/>
      <c r="X11" s="39"/>
      <c r="Y11" s="39"/>
      <c r="Z11" s="46" t="s">
        <v>24</v>
      </c>
      <c r="AA11" s="39"/>
      <c r="AB11" s="39"/>
      <c r="AC11" s="39"/>
      <c r="AD11" s="39"/>
      <c r="AE11" s="46" t="s">
        <v>25</v>
      </c>
      <c r="AF11" s="39"/>
      <c r="AG11" s="39"/>
      <c r="AH11" s="39"/>
      <c r="AI11" s="39"/>
      <c r="AK11" s="46" t="s">
        <v>23</v>
      </c>
      <c r="AL11" s="39"/>
      <c r="AM11" s="39"/>
      <c r="AN11" s="39"/>
      <c r="AO11" s="39"/>
      <c r="AP11" s="46" t="s">
        <v>24</v>
      </c>
      <c r="AQ11" s="39"/>
      <c r="AR11" s="39"/>
      <c r="AS11" s="39"/>
      <c r="AT11" s="39"/>
      <c r="AU11" s="46" t="s">
        <v>25</v>
      </c>
      <c r="AV11" s="39"/>
      <c r="AW11" s="39"/>
      <c r="AX11" s="39"/>
      <c r="AY11" s="39"/>
      <c r="BA11" s="46" t="s">
        <v>23</v>
      </c>
      <c r="BB11" s="39"/>
      <c r="BC11" s="39"/>
      <c r="BD11" s="39"/>
      <c r="BE11" s="39"/>
      <c r="BF11" s="46" t="s">
        <v>24</v>
      </c>
      <c r="BG11" s="39"/>
      <c r="BH11" s="39"/>
      <c r="BI11" s="39"/>
      <c r="BJ11" s="39"/>
      <c r="BK11" s="46" t="s">
        <v>25</v>
      </c>
      <c r="BL11" s="39"/>
      <c r="BM11" s="39"/>
      <c r="BN11" s="39"/>
      <c r="BO11" s="39"/>
    </row>
    <row r="12" spans="2:67">
      <c r="B12" s="49" t="s">
        <v>26</v>
      </c>
      <c r="C12" s="50"/>
      <c r="E12" s="37"/>
      <c r="F12" s="30"/>
      <c r="G12" s="30"/>
      <c r="H12" s="30"/>
      <c r="I12" s="30"/>
      <c r="J12" s="37"/>
      <c r="K12" s="30"/>
      <c r="L12" s="30"/>
      <c r="M12" s="30"/>
      <c r="N12" s="30"/>
      <c r="O12" s="37"/>
      <c r="P12" s="30"/>
      <c r="Q12" s="30"/>
      <c r="R12" s="30"/>
      <c r="S12" s="30"/>
      <c r="U12" s="37"/>
      <c r="V12" s="30"/>
      <c r="W12" s="30"/>
      <c r="X12" s="30"/>
      <c r="Y12" s="30"/>
      <c r="Z12" s="37"/>
      <c r="AA12" s="30"/>
      <c r="AB12" s="30"/>
      <c r="AC12" s="30"/>
      <c r="AD12" s="30"/>
      <c r="AE12" s="37"/>
      <c r="AF12" s="30"/>
      <c r="AG12" s="30"/>
      <c r="AH12" s="30"/>
      <c r="AI12" s="30"/>
      <c r="AK12" s="37"/>
      <c r="AL12" s="30"/>
      <c r="AM12" s="30"/>
      <c r="AN12" s="30"/>
      <c r="AO12" s="30"/>
      <c r="AP12" s="37"/>
      <c r="AQ12" s="30"/>
      <c r="AR12" s="30"/>
      <c r="AS12" s="30"/>
      <c r="AT12" s="30"/>
      <c r="AU12" s="37"/>
      <c r="AV12" s="30"/>
      <c r="AW12" s="30"/>
      <c r="AX12" s="30"/>
      <c r="AY12" s="30"/>
      <c r="BA12" s="37"/>
      <c r="BB12" s="30"/>
      <c r="BC12" s="30"/>
      <c r="BD12" s="30"/>
      <c r="BE12" s="30"/>
      <c r="BF12" s="37"/>
      <c r="BG12" s="30"/>
      <c r="BH12" s="30"/>
      <c r="BI12" s="30"/>
      <c r="BJ12" s="30"/>
      <c r="BK12" s="37"/>
      <c r="BL12" s="30"/>
      <c r="BM12" s="30"/>
      <c r="BN12" s="30"/>
      <c r="BO12" s="30"/>
    </row>
    <row r="13" spans="2:67">
      <c r="B13" s="51"/>
      <c r="C13" s="50"/>
      <c r="E13" s="59" t="str">
        <f>INDEX(J20:J22,MATCH(MAX(L20:L22),L20:L22,0))</f>
        <v>Ultimate</v>
      </c>
      <c r="F13" s="60"/>
      <c r="G13" s="60"/>
      <c r="H13" s="60"/>
      <c r="I13" s="60"/>
      <c r="J13" s="62">
        <f>IFERROR(H21/G21,0)</f>
        <v>0.74438632879430067</v>
      </c>
      <c r="K13" s="60"/>
      <c r="L13" s="60"/>
      <c r="M13" s="60"/>
      <c r="N13" s="60"/>
      <c r="O13" s="59" t="str">
        <f>IF(R15&gt;0,"Sim, em alta",IF(R15&lt;0,"Não, em queda","Estável"))</f>
        <v>Sim, em alta</v>
      </c>
      <c r="P13" s="60"/>
      <c r="Q13" s="60"/>
      <c r="R13" s="60"/>
      <c r="S13" s="60"/>
      <c r="U13" s="59" t="str">
        <f>INDEX(Z20:Z22,MATCH(MAX(AB20:AB22),AB20:AB22,0))</f>
        <v>Ultimate</v>
      </c>
      <c r="V13" s="60"/>
      <c r="W13" s="60"/>
      <c r="X13" s="60"/>
      <c r="Y13" s="60"/>
      <c r="Z13" s="62">
        <f>IFERROR(X21/W21,0)</f>
        <v>0.66106194690265485</v>
      </c>
      <c r="AA13" s="60"/>
      <c r="AB13" s="60"/>
      <c r="AC13" s="60"/>
      <c r="AD13" s="60"/>
      <c r="AE13" s="59" t="str">
        <f>IF(AH15&gt;0,"Sim, em alta",IF(AH15&lt;0,"Não, em queda","Estável"))</f>
        <v>Sim, em alta</v>
      </c>
      <c r="AF13" s="60"/>
      <c r="AG13" s="60"/>
      <c r="AH13" s="60"/>
      <c r="AI13" s="60"/>
      <c r="AK13" s="59" t="str">
        <f>INDEX(AP20:AP22,MATCH(MAX(AR20:AR22),AR20:AR22,0))</f>
        <v>Ultimate</v>
      </c>
      <c r="AL13" s="60"/>
      <c r="AM13" s="60"/>
      <c r="AN13" s="60"/>
      <c r="AO13" s="60"/>
      <c r="AP13" s="62">
        <f>IFERROR(AN21/AM21,0)</f>
        <v>0.87529137529137535</v>
      </c>
      <c r="AQ13" s="60"/>
      <c r="AR13" s="60"/>
      <c r="AS13" s="60"/>
      <c r="AT13" s="60"/>
      <c r="AU13" s="59" t="str">
        <f>IF(AX15&gt;0,"Sim, em alta",IF(AX15&lt;0,"Não, em queda","Estável"))</f>
        <v>Sim, em alta</v>
      </c>
      <c r="AV13" s="60"/>
      <c r="AW13" s="60"/>
      <c r="AX13" s="60"/>
      <c r="AY13" s="60"/>
      <c r="BA13" s="59" t="str">
        <f>INDEX(BF20:BF22,MATCH(MAX(BH20:BH22),BH20:BH22,0))</f>
        <v>Ultimate</v>
      </c>
      <c r="BB13" s="60"/>
      <c r="BC13" s="60"/>
      <c r="BD13" s="60"/>
      <c r="BE13" s="60"/>
      <c r="BF13" s="62">
        <f>IFERROR(BD21/BC21,0)</f>
        <v>0.87628278221208677</v>
      </c>
      <c r="BG13" s="60"/>
      <c r="BH13" s="60"/>
      <c r="BI13" s="60"/>
      <c r="BJ13" s="60"/>
      <c r="BK13" s="59" t="str">
        <f>IF(BN15&gt;0,"Sim, em alta",IF(BN15&lt;0,"Não, em queda","Estável"))</f>
        <v>Sim, em alta</v>
      </c>
      <c r="BL13" s="60"/>
      <c r="BM13" s="60"/>
      <c r="BN13" s="60"/>
      <c r="BO13" s="60"/>
    </row>
    <row r="14" spans="2:67">
      <c r="E14" s="61"/>
      <c r="F14" s="60"/>
      <c r="G14" s="60"/>
      <c r="H14" s="60"/>
      <c r="I14" s="60"/>
      <c r="J14" s="61"/>
      <c r="K14" s="60"/>
      <c r="L14" s="60"/>
      <c r="M14" s="60"/>
      <c r="N14" s="60"/>
      <c r="O14" s="61"/>
      <c r="P14" s="60"/>
      <c r="Q14" s="60"/>
      <c r="R14" s="60"/>
      <c r="S14" s="60"/>
      <c r="U14" s="61"/>
      <c r="V14" s="60"/>
      <c r="W14" s="60"/>
      <c r="X14" s="60"/>
      <c r="Y14" s="60"/>
      <c r="Z14" s="61"/>
      <c r="AA14" s="60"/>
      <c r="AB14" s="60"/>
      <c r="AC14" s="60"/>
      <c r="AD14" s="60"/>
      <c r="AE14" s="61"/>
      <c r="AF14" s="60"/>
      <c r="AG14" s="60"/>
      <c r="AH14" s="60"/>
      <c r="AI14" s="60"/>
      <c r="AK14" s="61"/>
      <c r="AL14" s="60"/>
      <c r="AM14" s="60"/>
      <c r="AN14" s="60"/>
      <c r="AO14" s="60"/>
      <c r="AP14" s="61"/>
      <c r="AQ14" s="60"/>
      <c r="AR14" s="60"/>
      <c r="AS14" s="60"/>
      <c r="AT14" s="60"/>
      <c r="AU14" s="61"/>
      <c r="AV14" s="60"/>
      <c r="AW14" s="60"/>
      <c r="AX14" s="60"/>
      <c r="AY14" s="60"/>
      <c r="BA14" s="61"/>
      <c r="BB14" s="60"/>
      <c r="BC14" s="60"/>
      <c r="BD14" s="60"/>
      <c r="BE14" s="60"/>
      <c r="BF14" s="61"/>
      <c r="BG14" s="60"/>
      <c r="BH14" s="60"/>
      <c r="BI14" s="60"/>
      <c r="BJ14" s="60"/>
      <c r="BK14" s="61"/>
      <c r="BL14" s="60"/>
      <c r="BM14" s="60"/>
      <c r="BN14" s="60"/>
      <c r="BO14" s="60"/>
    </row>
    <row r="15" spans="2:67">
      <c r="B15" s="49" t="s">
        <v>27</v>
      </c>
      <c r="C15" s="50"/>
      <c r="E15" s="40" t="s">
        <v>28</v>
      </c>
      <c r="F15" s="30"/>
      <c r="G15" s="30"/>
      <c r="H15" s="56">
        <f>IFERROR(MAX(L20:L22)/L23,0)</f>
        <v>0.74118495806655249</v>
      </c>
      <c r="I15" s="30"/>
      <c r="J15" s="40" t="s">
        <v>29</v>
      </c>
      <c r="K15" s="30"/>
      <c r="L15" s="30"/>
      <c r="M15" s="44">
        <f>H21</f>
        <v>1375.75</v>
      </c>
      <c r="N15" s="30"/>
      <c r="O15" s="40" t="s">
        <v>30</v>
      </c>
      <c r="P15" s="30"/>
      <c r="Q15" s="30"/>
      <c r="R15" s="52">
        <f>IFERROR(G56/G55-1,0)</f>
        <v>5.5743323654020127E-2</v>
      </c>
      <c r="S15" s="30"/>
      <c r="U15" s="40" t="s">
        <v>28</v>
      </c>
      <c r="V15" s="30"/>
      <c r="W15" s="30"/>
      <c r="X15" s="56">
        <f>IFERROR(MAX(AB20:AB22)/AB23,0)</f>
        <v>0.75132743362831855</v>
      </c>
      <c r="Y15" s="30"/>
      <c r="Z15" s="40" t="s">
        <v>29</v>
      </c>
      <c r="AA15" s="30"/>
      <c r="AB15" s="30"/>
      <c r="AC15" s="44">
        <f>X21</f>
        <v>747</v>
      </c>
      <c r="AD15" s="30"/>
      <c r="AE15" s="40" t="s">
        <v>30</v>
      </c>
      <c r="AF15" s="30"/>
      <c r="AG15" s="30"/>
      <c r="AH15" s="52">
        <f>IFERROR(W56/W55-1,0)</f>
        <v>5.7062675397567819E-2</v>
      </c>
      <c r="AI15" s="30"/>
      <c r="AK15" s="40" t="s">
        <v>28</v>
      </c>
      <c r="AL15" s="30"/>
      <c r="AM15" s="30"/>
      <c r="AN15" s="56">
        <f>IFERROR(MAX(AR20:AR22)/AR23,0)</f>
        <v>0.73776223776223782</v>
      </c>
      <c r="AO15" s="30"/>
      <c r="AP15" s="40" t="s">
        <v>29</v>
      </c>
      <c r="AQ15" s="30"/>
      <c r="AR15" s="30"/>
      <c r="AS15" s="44">
        <f>AN21</f>
        <v>500.66666666666669</v>
      </c>
      <c r="AT15" s="30"/>
      <c r="AU15" s="40" t="s">
        <v>30</v>
      </c>
      <c r="AV15" s="30"/>
      <c r="AW15" s="30"/>
      <c r="AX15" s="52">
        <f>IFERROR(AM56/AM55-1,0)</f>
        <v>5.2760736196318936E-2</v>
      </c>
      <c r="AY15" s="30"/>
      <c r="BA15" s="40" t="s">
        <v>28</v>
      </c>
      <c r="BB15" s="30"/>
      <c r="BC15" s="30"/>
      <c r="BD15" s="56">
        <f>IFERROR(MAX(BH20:BH22)/BH23,0)</f>
        <v>0.67616875712656788</v>
      </c>
      <c r="BE15" s="30"/>
      <c r="BF15" s="40" t="s">
        <v>29</v>
      </c>
      <c r="BG15" s="30"/>
      <c r="BH15" s="30"/>
      <c r="BI15" s="44">
        <f>BD21</f>
        <v>128.08333333333334</v>
      </c>
      <c r="BJ15" s="30"/>
      <c r="BK15" s="40" t="s">
        <v>30</v>
      </c>
      <c r="BL15" s="30"/>
      <c r="BM15" s="30"/>
      <c r="BN15" s="52">
        <f>IFERROR(BC56/BC55-1,0)</f>
        <v>5.7263411693791344E-2</v>
      </c>
      <c r="BO15" s="30"/>
    </row>
    <row r="16" spans="2:67">
      <c r="B16" s="51"/>
      <c r="C16" s="50"/>
      <c r="E16" s="40" t="s">
        <v>31</v>
      </c>
      <c r="F16" s="30"/>
      <c r="G16" s="30"/>
      <c r="H16" s="44">
        <f>MAX(L20:L22)</f>
        <v>1369.8333333333333</v>
      </c>
      <c r="I16" s="30"/>
      <c r="J16" s="40" t="s">
        <v>32</v>
      </c>
      <c r="K16" s="30"/>
      <c r="L16" s="30"/>
      <c r="M16" s="44">
        <f>I21</f>
        <v>472.41666666666663</v>
      </c>
      <c r="N16" s="30"/>
      <c r="O16" s="40" t="s">
        <v>33</v>
      </c>
      <c r="P16" s="30"/>
      <c r="Q16" s="30"/>
      <c r="R16" s="33">
        <f>G56-G55</f>
        <v>97.583333333333258</v>
      </c>
      <c r="S16" s="30"/>
      <c r="U16" s="40" t="s">
        <v>31</v>
      </c>
      <c r="V16" s="30"/>
      <c r="W16" s="30"/>
      <c r="X16" s="44">
        <f>MAX(AB20:AB22)</f>
        <v>849</v>
      </c>
      <c r="Y16" s="30"/>
      <c r="Z16" s="40" t="s">
        <v>32</v>
      </c>
      <c r="AA16" s="30"/>
      <c r="AB16" s="30"/>
      <c r="AC16" s="44">
        <f>Y21</f>
        <v>383</v>
      </c>
      <c r="AD16" s="30"/>
      <c r="AE16" s="40" t="s">
        <v>33</v>
      </c>
      <c r="AF16" s="30"/>
      <c r="AG16" s="30"/>
      <c r="AH16" s="33">
        <f>W56-W55</f>
        <v>61</v>
      </c>
      <c r="AI16" s="30"/>
      <c r="AK16" s="40" t="s">
        <v>31</v>
      </c>
      <c r="AL16" s="30"/>
      <c r="AM16" s="30"/>
      <c r="AN16" s="44">
        <f>MAX(AR20:AR22)</f>
        <v>422</v>
      </c>
      <c r="AO16" s="30"/>
      <c r="AP16" s="40" t="s">
        <v>32</v>
      </c>
      <c r="AQ16" s="30"/>
      <c r="AR16" s="30"/>
      <c r="AS16" s="44">
        <f>AO21</f>
        <v>71.333333333333329</v>
      </c>
      <c r="AT16" s="30"/>
      <c r="AU16" s="40" t="s">
        <v>33</v>
      </c>
      <c r="AV16" s="30"/>
      <c r="AW16" s="30"/>
      <c r="AX16" s="33">
        <f>AM56-AM55</f>
        <v>28.666666666666629</v>
      </c>
      <c r="AY16" s="30"/>
      <c r="BA16" s="40" t="s">
        <v>31</v>
      </c>
      <c r="BB16" s="30"/>
      <c r="BC16" s="30"/>
      <c r="BD16" s="44">
        <f>MAX(BH20:BH22)</f>
        <v>98.833333333333329</v>
      </c>
      <c r="BE16" s="30"/>
      <c r="BF16" s="40" t="s">
        <v>32</v>
      </c>
      <c r="BG16" s="30"/>
      <c r="BH16" s="30"/>
      <c r="BI16" s="44">
        <f>BE21</f>
        <v>18.083333333333332</v>
      </c>
      <c r="BJ16" s="30"/>
      <c r="BK16" s="40" t="s">
        <v>33</v>
      </c>
      <c r="BL16" s="30"/>
      <c r="BM16" s="30"/>
      <c r="BN16" s="33">
        <f>BC56-BC55</f>
        <v>7.9166666666666572</v>
      </c>
      <c r="BO16" s="30"/>
    </row>
    <row r="18" spans="2:67">
      <c r="B18" s="9" t="s">
        <v>34</v>
      </c>
      <c r="E18" s="45" t="s">
        <v>35</v>
      </c>
      <c r="F18" s="30"/>
      <c r="G18" s="30"/>
      <c r="H18" s="30"/>
      <c r="I18" s="30"/>
      <c r="J18" s="45" t="s">
        <v>36</v>
      </c>
      <c r="K18" s="30"/>
      <c r="L18" s="30"/>
      <c r="M18" s="30"/>
      <c r="N18" s="30"/>
      <c r="O18" s="45" t="s">
        <v>37</v>
      </c>
      <c r="P18" s="30"/>
      <c r="Q18" s="30"/>
      <c r="R18" s="30"/>
      <c r="S18" s="30"/>
      <c r="U18" s="45" t="s">
        <v>35</v>
      </c>
      <c r="V18" s="30"/>
      <c r="W18" s="30"/>
      <c r="X18" s="30"/>
      <c r="Y18" s="30"/>
      <c r="Z18" s="45" t="s">
        <v>36</v>
      </c>
      <c r="AA18" s="30"/>
      <c r="AB18" s="30"/>
      <c r="AC18" s="30"/>
      <c r="AD18" s="30"/>
      <c r="AE18" s="45" t="s">
        <v>38</v>
      </c>
      <c r="AF18" s="30"/>
      <c r="AG18" s="30"/>
      <c r="AH18" s="30"/>
      <c r="AI18" s="30"/>
      <c r="AK18" s="45" t="s">
        <v>35</v>
      </c>
      <c r="AL18" s="30"/>
      <c r="AM18" s="30"/>
      <c r="AN18" s="30"/>
      <c r="AO18" s="30"/>
      <c r="AP18" s="45" t="s">
        <v>36</v>
      </c>
      <c r="AQ18" s="30"/>
      <c r="AR18" s="30"/>
      <c r="AS18" s="30"/>
      <c r="AT18" s="30"/>
      <c r="AU18" s="45" t="s">
        <v>38</v>
      </c>
      <c r="AV18" s="30"/>
      <c r="AW18" s="30"/>
      <c r="AX18" s="30"/>
      <c r="AY18" s="30"/>
      <c r="BA18" s="45" t="s">
        <v>35</v>
      </c>
      <c r="BB18" s="30"/>
      <c r="BC18" s="30"/>
      <c r="BD18" s="30"/>
      <c r="BE18" s="30"/>
      <c r="BF18" s="45" t="s">
        <v>36</v>
      </c>
      <c r="BG18" s="30"/>
      <c r="BH18" s="30"/>
      <c r="BI18" s="30"/>
      <c r="BJ18" s="30"/>
      <c r="BK18" s="45" t="s">
        <v>38</v>
      </c>
      <c r="BL18" s="30"/>
      <c r="BM18" s="30"/>
      <c r="BN18" s="30"/>
      <c r="BO18" s="30"/>
    </row>
    <row r="19" spans="2:67">
      <c r="B19" s="10" t="s">
        <v>39</v>
      </c>
      <c r="C19" s="58">
        <v>1</v>
      </c>
      <c r="E19" s="53" t="s">
        <v>40</v>
      </c>
      <c r="F19" s="30"/>
      <c r="G19" s="13" t="s">
        <v>41</v>
      </c>
      <c r="H19" s="13" t="s">
        <v>42</v>
      </c>
      <c r="I19" s="13" t="s">
        <v>43</v>
      </c>
      <c r="J19" s="13" t="s">
        <v>44</v>
      </c>
      <c r="K19" s="13" t="s">
        <v>45</v>
      </c>
      <c r="L19" s="13" t="s">
        <v>12</v>
      </c>
      <c r="M19" s="13" t="s">
        <v>42</v>
      </c>
      <c r="N19" s="13" t="s">
        <v>43</v>
      </c>
      <c r="O19" s="13" t="s">
        <v>46</v>
      </c>
      <c r="P19" s="13" t="s">
        <v>45</v>
      </c>
      <c r="Q19" s="13" t="s">
        <v>12</v>
      </c>
      <c r="R19" s="13" t="s">
        <v>42</v>
      </c>
      <c r="S19" s="13" t="s">
        <v>43</v>
      </c>
      <c r="U19" s="53" t="s">
        <v>40</v>
      </c>
      <c r="V19" s="30"/>
      <c r="W19" s="13" t="s">
        <v>41</v>
      </c>
      <c r="X19" s="13" t="s">
        <v>42</v>
      </c>
      <c r="Y19" s="13" t="s">
        <v>43</v>
      </c>
      <c r="Z19" s="13" t="s">
        <v>44</v>
      </c>
      <c r="AA19" s="13" t="s">
        <v>45</v>
      </c>
      <c r="AB19" s="13" t="s">
        <v>12</v>
      </c>
      <c r="AC19" s="13" t="s">
        <v>42</v>
      </c>
      <c r="AD19" s="13" t="s">
        <v>43</v>
      </c>
      <c r="AE19" s="53" t="s">
        <v>47</v>
      </c>
      <c r="AF19" s="30"/>
      <c r="AG19" s="13" t="s">
        <v>12</v>
      </c>
      <c r="AH19" s="13" t="s">
        <v>13</v>
      </c>
      <c r="AI19" s="13" t="s">
        <v>48</v>
      </c>
      <c r="AK19" s="53" t="s">
        <v>40</v>
      </c>
      <c r="AL19" s="30"/>
      <c r="AM19" s="13" t="s">
        <v>41</v>
      </c>
      <c r="AN19" s="13" t="s">
        <v>42</v>
      </c>
      <c r="AO19" s="13" t="s">
        <v>43</v>
      </c>
      <c r="AP19" s="13" t="s">
        <v>44</v>
      </c>
      <c r="AQ19" s="13" t="s">
        <v>45</v>
      </c>
      <c r="AR19" s="13" t="s">
        <v>12</v>
      </c>
      <c r="AS19" s="13" t="s">
        <v>42</v>
      </c>
      <c r="AT19" s="13" t="s">
        <v>43</v>
      </c>
      <c r="AU19" s="53" t="s">
        <v>47</v>
      </c>
      <c r="AV19" s="30"/>
      <c r="AW19" s="13" t="s">
        <v>12</v>
      </c>
      <c r="AX19" s="13" t="s">
        <v>13</v>
      </c>
      <c r="AY19" s="13" t="s">
        <v>48</v>
      </c>
      <c r="BA19" s="53" t="s">
        <v>40</v>
      </c>
      <c r="BB19" s="30"/>
      <c r="BC19" s="13" t="s">
        <v>41</v>
      </c>
      <c r="BD19" s="13" t="s">
        <v>42</v>
      </c>
      <c r="BE19" s="13" t="s">
        <v>43</v>
      </c>
      <c r="BF19" s="13" t="s">
        <v>44</v>
      </c>
      <c r="BG19" s="13" t="s">
        <v>45</v>
      </c>
      <c r="BH19" s="13" t="s">
        <v>12</v>
      </c>
      <c r="BI19" s="13" t="s">
        <v>42</v>
      </c>
      <c r="BJ19" s="13" t="s">
        <v>43</v>
      </c>
      <c r="BK19" s="53" t="s">
        <v>47</v>
      </c>
      <c r="BL19" s="30"/>
      <c r="BM19" s="13" t="s">
        <v>12</v>
      </c>
      <c r="BN19" s="13" t="s">
        <v>13</v>
      </c>
      <c r="BO19" s="13" t="s">
        <v>48</v>
      </c>
    </row>
    <row r="20" spans="2:67">
      <c r="B20" s="10" t="s">
        <v>49</v>
      </c>
      <c r="C20" s="58">
        <v>3</v>
      </c>
      <c r="E20" s="31" t="s">
        <v>50</v>
      </c>
      <c r="F20" s="32"/>
      <c r="G20" s="14">
        <f>(COUNTIFS(b_Tipo,"Monthly",b_Renov,"Yes",b_Inicio,"&lt;="&amp;ref_Date,b_Plano,"*")+COUNTIFS(b_Tipo,"Monthly",b_Renov,"No",b_Inicio,"&lt;="&amp;ref_Date,b_Inicio,"&gt;"&amp;EDATE(ref_Date,-m_Monthly),b_Plano,"*"))+(COUNTIFS(b_Tipo,"Quarterly",b_Renov,"Yes",b_Inicio,"&lt;="&amp;ref_Date,b_Plano,"*")+COUNTIFS(b_Tipo,"Quarterly",b_Renov,"No",b_Inicio,"&lt;="&amp;ref_Date,b_Inicio,"&gt;"&amp;EDATE(ref_Date,-m_Quarterly),b_Plano,"*"))+(COUNTIFS(b_Tipo,"Annual",b_Renov,"Yes",b_Inicio,"&lt;="&amp;ref_Date,b_Plano,"*")+COUNTIFS(b_Tipo,"Annual",b_Renov,"No",b_Inicio,"&lt;="&amp;ref_Date,b_Inicio,"&gt;"&amp;EDATE(ref_Date,-m_Annual),b_Plano,"*"))</f>
        <v>180</v>
      </c>
      <c r="H20" s="14">
        <f>(COUNTIFS(b_Tipo,"Monthly",b_Renov,"Yes",b_Inicio,"&lt;="&amp;ref_Date,b_Plano,"*"))+(COUNTIFS(b_Tipo,"Quarterly",b_Renov,"Yes",b_Inicio,"&lt;="&amp;ref_Date,b_Plano,"*"))+(COUNTIFS(b_Tipo,"Annual",b_Renov,"Yes",b_Inicio,"&lt;="&amp;ref_Date,b_Plano,"*"))</f>
        <v>148</v>
      </c>
      <c r="I20" s="14">
        <f>(COUNTIFS(b_Tipo,"Monthly",b_Renov,"No",b_Inicio,"&lt;="&amp;ref_Date,b_Inicio,"&gt;"&amp;EDATE(ref_Date,-m_Monthly),b_Plano,"*"))+(COUNTIFS(b_Tipo,"Quarterly",b_Renov,"No",b_Inicio,"&lt;="&amp;ref_Date,b_Inicio,"&gt;"&amp;EDATE(ref_Date,-m_Quarterly),b_Plano,"*"))+(COUNTIFS(b_Tipo,"Annual",b_Renov,"No",b_Inicio,"&lt;="&amp;ref_Date,b_Inicio,"&gt;"&amp;EDATE(ref_Date,-m_Annual),b_Plano,"*"))</f>
        <v>32</v>
      </c>
      <c r="J20" s="15" t="s">
        <v>51</v>
      </c>
      <c r="K20" s="14">
        <f>(COUNTIFS(b_Tipo,"Monthly",b_Renov,"Yes",b_Inicio,"&lt;="&amp;ref_Date,b_Plano,$J20)+COUNTIFS(b_Tipo,"Monthly",b_Renov,"No",b_Inicio,"&lt;="&amp;ref_Date,b_Inicio,"&gt;"&amp;EDATE(ref_Date,-m_Monthly),b_Plano,$J20))+(COUNTIFS(b_Tipo,"Quarterly",b_Renov,"Yes",b_Inicio,"&lt;="&amp;ref_Date,b_Plano,$J20)+COUNTIFS(b_Tipo,"Quarterly",b_Renov,"No",b_Inicio,"&lt;="&amp;ref_Date,b_Inicio,"&gt;"&amp;EDATE(ref_Date,-m_Quarterly),b_Plano,$J20))+(COUNTIFS(b_Tipo,"Annual",b_Renov,"Yes",b_Inicio,"&lt;="&amp;ref_Date,b_Plano,$J20)+COUNTIFS(b_Tipo,"Annual",b_Renov,"No",b_Inicio,"&lt;="&amp;ref_Date,b_Inicio,"&gt;"&amp;EDATE(ref_Date,-m_Annual),b_Plano,$J20))</f>
        <v>63</v>
      </c>
      <c r="L20" s="16">
        <f>(SUMIFS(b_Total,b_Tipo,"Monthly",b_Renov,"Yes",b_Inicio,"&lt;="&amp;ref_Date,b_Plano,$J20)+SUMIFS(b_Total,b_Tipo,"Monthly",b_Renov,"No",b_Inicio,"&lt;="&amp;ref_Date,b_Inicio,"&gt;"&amp;EDATE(ref_Date,-m_Monthly),b_Plano,$J20))/m_Monthly+(SUMIFS(b_Total,b_Tipo,"Quarterly",b_Renov,"Yes",b_Inicio,"&lt;="&amp;ref_Date,b_Plano,$J20)+SUMIFS(b_Total,b_Tipo,"Quarterly",b_Renov,"No",b_Inicio,"&lt;="&amp;ref_Date,b_Inicio,"&gt;"&amp;EDATE(ref_Date,-m_Quarterly),b_Plano,$J20))/m_Quarterly+(SUMIFS(b_Total,b_Tipo,"Annual",b_Renov,"Yes",b_Inicio,"&lt;="&amp;ref_Date,b_Plano,$J20)+SUMIFS(b_Total,b_Tipo,"Annual",b_Renov,"No",b_Inicio,"&lt;="&amp;ref_Date,b_Inicio,"&gt;"&amp;EDATE(ref_Date,-m_Annual),b_Plano,$J20))/m_Annual</f>
        <v>116.33333333333334</v>
      </c>
      <c r="M20" s="16">
        <f>(SUMIFS(b_Total,b_Tipo,"Monthly",b_Renov,"Yes",b_Inicio,"&lt;="&amp;ref_Date,b_Plano,$J20))/m_Monthly+(SUMIFS(b_Total,b_Tipo,"Quarterly",b_Renov,"Yes",b_Inicio,"&lt;="&amp;ref_Date,b_Plano,$J20))/m_Quarterly+(SUMIFS(b_Total,b_Tipo,"Annual",b_Renov,"Yes",b_Inicio,"&lt;="&amp;ref_Date,b_Plano,$J20))/m_Annual</f>
        <v>92.583333333333329</v>
      </c>
      <c r="N20" s="16">
        <f>(SUMIFS(b_Total,b_Tipo,"Monthly",b_Renov,"No",b_Inicio,"&lt;="&amp;ref_Date,b_Inicio,"&gt;"&amp;EDATE(ref_Date,-m_Monthly),b_Plano,$J20))/m_Monthly+(SUMIFS(b_Total,b_Tipo,"Quarterly",b_Renov,"No",b_Inicio,"&lt;="&amp;ref_Date,b_Inicio,"&gt;"&amp;EDATE(ref_Date,-m_Quarterly),b_Plano,$J20))/m_Quarterly+(SUMIFS(b_Total,b_Tipo,"Annual",b_Renov,"No",b_Inicio,"&lt;="&amp;ref_Date,b_Inicio,"&gt;"&amp;EDATE(ref_Date,-m_Annual),b_Plano,$J20))/m_Annual</f>
        <v>23.75</v>
      </c>
      <c r="O20" s="15" t="s">
        <v>52</v>
      </c>
      <c r="P20" s="14">
        <f>(COUNTIFS(b_Tipo,"Monthly",b_Renov,"Yes",b_Inicio,"&lt;="&amp;ref_Date,b_Plano,"*")+COUNTIFS(b_Tipo,"Monthly",b_Renov,"No",b_Inicio,"&lt;="&amp;ref_Date,b_Inicio,"&gt;"&amp;EDATE(ref_Date,-m_Monthly),b_Plano,"*"))</f>
        <v>43</v>
      </c>
      <c r="Q20" s="16">
        <f>(SUMIFS(b_Total,b_Tipo,"Monthly",b_Renov,"Yes",b_Inicio,"&lt;="&amp;ref_Date,b_Plano,"*")+SUMIFS(b_Total,b_Tipo,"Monthly",b_Renov,"No",b_Inicio,"&lt;="&amp;ref_Date,b_Inicio,"&gt;"&amp;EDATE(ref_Date,-m_Monthly),b_Plano,"*"))/m_Monthly</f>
        <v>1130</v>
      </c>
      <c r="R20" s="16">
        <f>(SUMIFS(b_Total,b_Tipo,"Monthly",b_Renov,"Yes",b_Inicio,"&lt;="&amp;ref_Date,b_Plano,"*"))/m_Monthly</f>
        <v>747</v>
      </c>
      <c r="S20" s="16">
        <f>(SUMIFS(b_Total,b_Tipo,"Monthly",b_Renov,"No",b_Inicio,"&lt;="&amp;ref_Date,b_Inicio,"&gt;"&amp;EDATE(ref_Date,-m_Monthly),b_Plano,"*"))/m_Monthly</f>
        <v>383</v>
      </c>
      <c r="U20" s="31" t="s">
        <v>50</v>
      </c>
      <c r="V20" s="32"/>
      <c r="W20" s="14">
        <f>(COUNTIFS(b_Tipo,"Monthly",b_Renov,"Yes",b_Inicio,"&lt;="&amp;ref_Date,b_Plano,"*")+COUNTIFS(b_Tipo,"Monthly",b_Renov,"No",b_Inicio,"&lt;="&amp;ref_Date,b_Inicio,"&gt;"&amp;EDATE(ref_Date,-m_Monthly),b_Plano,"*"))</f>
        <v>43</v>
      </c>
      <c r="X20" s="14">
        <f>(COUNTIFS(b_Tipo,"Monthly",b_Renov,"Yes",b_Inicio,"&lt;="&amp;ref_Date,b_Plano,"*"))</f>
        <v>28</v>
      </c>
      <c r="Y20" s="14">
        <f>(COUNTIFS(b_Tipo,"Monthly",b_Renov,"No",b_Inicio,"&lt;="&amp;ref_Date,b_Inicio,"&gt;"&amp;EDATE(ref_Date,-m_Monthly),b_Plano,"*"))</f>
        <v>15</v>
      </c>
      <c r="Z20" s="15" t="s">
        <v>51</v>
      </c>
      <c r="AA20" s="14">
        <f>(COUNTIFS(b_Tipo,"Monthly",b_Renov,"Yes",b_Inicio,"&lt;="&amp;ref_Date,b_Plano,$Z20)+COUNTIFS(b_Tipo,"Monthly",b_Renov,"No",b_Inicio,"&lt;="&amp;ref_Date,b_Inicio,"&gt;"&amp;EDATE(ref_Date,-m_Monthly),b_Plano,$Z20))</f>
        <v>17</v>
      </c>
      <c r="AB20" s="16">
        <f>(SUMIFS(b_Total,b_Tipo,"Monthly",b_Renov,"Yes",b_Inicio,"&lt;="&amp;ref_Date,b_Plano,$Z20)+SUMIFS(b_Total,b_Tipo,"Monthly",b_Renov,"No",b_Inicio,"&lt;="&amp;ref_Date,b_Inicio,"&gt;"&amp;EDATE(ref_Date,-m_Monthly),b_Plano,$Z20))/m_Monthly</f>
        <v>71</v>
      </c>
      <c r="AC20" s="16">
        <f>(SUMIFS(b_Total,b_Tipo,"Monthly",b_Renov,"Yes",b_Inicio,"&lt;="&amp;ref_Date,b_Plano,$Z20))/m_Monthly</f>
        <v>52</v>
      </c>
      <c r="AD20" s="16">
        <f>(SUMIFS(b_Total,b_Tipo,"Monthly",b_Renov,"No",b_Inicio,"&lt;="&amp;ref_Date,b_Inicio,"&gt;"&amp;EDATE(ref_Date,-m_Monthly),b_Plano,$Z20))/m_Monthly</f>
        <v>19</v>
      </c>
      <c r="AE20" s="31" t="s">
        <v>53</v>
      </c>
      <c r="AF20" s="32"/>
      <c r="AG20" s="16">
        <f>((SUMIFS(b_PrecoPlano,b_Tipo,"Monthly",b_Renov,"Yes",b_Inicio,"&lt;="&amp;ref_Date,b_Plano,"*")+SUMIFS(b_PrecoPlano,b_Tipo,"Monthly",b_Renov,"No",b_Inicio,"&lt;="&amp;ref_Date,b_Inicio,"&gt;"&amp;EDATE(ref_Date,-m_Monthly),b_Plano,"*"))/m_Monthly)</f>
        <v>425</v>
      </c>
      <c r="AH20" s="16">
        <f>AG20*12</f>
        <v>5100</v>
      </c>
      <c r="AI20" s="17">
        <f>IFERROR(AG20/AG$24,0)</f>
        <v>0.37610619469026546</v>
      </c>
      <c r="AK20" s="31" t="s">
        <v>50</v>
      </c>
      <c r="AL20" s="32"/>
      <c r="AM20" s="14">
        <f>(COUNTIFS(b_Tipo,"Quarterly",b_Renov,"Yes",b_Inicio,"&lt;="&amp;ref_Date,b_Plano,"*")+COUNTIFS(b_Tipo,"Quarterly",b_Renov,"No",b_Inicio,"&lt;="&amp;ref_Date,b_Inicio,"&gt;"&amp;EDATE(ref_Date,-m_Quarterly),b_Plano,"*"))</f>
        <v>66</v>
      </c>
      <c r="AN20" s="14">
        <f>(COUNTIFS(b_Tipo,"Quarterly",b_Renov,"Yes",b_Inicio,"&lt;="&amp;ref_Date,b_Plano,"*"))</f>
        <v>60</v>
      </c>
      <c r="AO20" s="14">
        <f>(COUNTIFS(b_Tipo,"Quarterly",b_Renov,"No",b_Inicio,"&lt;="&amp;ref_Date,b_Inicio,"&gt;"&amp;EDATE(ref_Date,-m_Quarterly),b_Plano,"*"))</f>
        <v>6</v>
      </c>
      <c r="AP20" s="15" t="s">
        <v>51</v>
      </c>
      <c r="AQ20" s="14">
        <f>(COUNTIFS(b_Tipo,"Quarterly",b_Renov,"Yes",b_Inicio,"&lt;="&amp;ref_Date,b_Plano,$AP20)+COUNTIFS(b_Tipo,"Quarterly",b_Renov,"No",b_Inicio,"&lt;="&amp;ref_Date,b_Inicio,"&gt;"&amp;EDATE(ref_Date,-m_Quarterly),b_Plano,$AP20))</f>
        <v>22</v>
      </c>
      <c r="AR20" s="16">
        <f>(SUMIFS(b_Total,b_Tipo,"Quarterly",b_Renov,"Yes",b_Inicio,"&lt;="&amp;ref_Date,b_Plano,$AP20)+SUMIFS(b_Total,b_Tipo,"Quarterly",b_Renov,"No",b_Inicio,"&lt;="&amp;ref_Date,b_Inicio,"&gt;"&amp;EDATE(ref_Date,-m_Quarterly),b_Plano,$AP20))/m_Quarterly</f>
        <v>35.333333333333336</v>
      </c>
      <c r="AS20" s="16">
        <f>(SUMIFS(b_Total,b_Tipo,"Quarterly",b_Renov,"Yes",b_Inicio,"&lt;="&amp;ref_Date,b_Plano,$AP20))/m_Quarterly</f>
        <v>32.666666666666664</v>
      </c>
      <c r="AT20" s="16">
        <f>(SUMIFS(b_Total,b_Tipo,"Quarterly",b_Renov,"No",b_Inicio,"&lt;="&amp;ref_Date,b_Inicio,"&gt;"&amp;EDATE(ref_Date,-m_Quarterly),b_Plano,$AP20))/m_Quarterly</f>
        <v>2.6666666666666665</v>
      </c>
      <c r="AU20" s="31" t="s">
        <v>53</v>
      </c>
      <c r="AV20" s="32"/>
      <c r="AW20" s="16">
        <f>((SUMIFS(b_PrecoPlano,b_Tipo,"Quarterly",b_Renov,"Yes",b_Inicio,"&lt;="&amp;ref_Date,b_Plano,"*")+SUMIFS(b_PrecoPlano,b_Tipo,"Quarterly",b_Renov,"No",b_Inicio,"&lt;="&amp;ref_Date,b_Inicio,"&gt;"&amp;EDATE(ref_Date,-m_Quarterly),b_Plano,"*"))/m_Quarterly)</f>
        <v>221.66666666666666</v>
      </c>
      <c r="AX20" s="16">
        <f>AW20*12</f>
        <v>2660</v>
      </c>
      <c r="AY20" s="17">
        <f>IFERROR(AW20/AW$24,0)</f>
        <v>0.38752913752913754</v>
      </c>
      <c r="BA20" s="31" t="s">
        <v>50</v>
      </c>
      <c r="BB20" s="32"/>
      <c r="BC20" s="14">
        <f>(COUNTIFS(b_Tipo,"Annual",b_Renov,"Yes",b_Inicio,"&lt;="&amp;ref_Date,b_Plano,"*")+COUNTIFS(b_Tipo,"Annual",b_Renov,"No",b_Inicio,"&lt;="&amp;ref_Date,b_Inicio,"&gt;"&amp;EDATE(ref_Date,-m_Annual),b_Plano,"*"))</f>
        <v>71</v>
      </c>
      <c r="BD20" s="14">
        <f>(COUNTIFS(b_Tipo,"Annual",b_Renov,"Yes",b_Inicio,"&lt;="&amp;ref_Date,b_Plano,"*"))</f>
        <v>60</v>
      </c>
      <c r="BE20" s="14">
        <f>(COUNTIFS(b_Tipo,"Annual",b_Renov,"No",b_Inicio,"&lt;="&amp;ref_Date,b_Inicio,"&gt;"&amp;EDATE(ref_Date,-m_Annual),b_Plano,"*"))</f>
        <v>11</v>
      </c>
      <c r="BF20" s="15" t="s">
        <v>51</v>
      </c>
      <c r="BG20" s="14">
        <f>(COUNTIFS(b_Tipo,"Annual",b_Renov,"Yes",b_Inicio,"&lt;="&amp;ref_Date,b_Plano,$BF20)+COUNTIFS(b_Tipo,"Annual",b_Renov,"No",b_Inicio,"&lt;="&amp;ref_Date,b_Inicio,"&gt;"&amp;EDATE(ref_Date,-m_Annual),b_Plano,$BF20))</f>
        <v>24</v>
      </c>
      <c r="BH20" s="16">
        <f>(SUMIFS(b_Total,b_Tipo,"Annual",b_Renov,"Yes",b_Inicio,"&lt;="&amp;ref_Date,b_Plano,$BF20)+SUMIFS(b_Total,b_Tipo,"Annual",b_Renov,"No",b_Inicio,"&lt;="&amp;ref_Date,b_Inicio,"&gt;"&amp;EDATE(ref_Date,-m_Annual),b_Plano,$BF20))/m_Annual</f>
        <v>10</v>
      </c>
      <c r="BI20" s="16">
        <f>(SUMIFS(b_Total,b_Tipo,"Annual",b_Renov,"Yes",b_Inicio,"&lt;="&amp;ref_Date,b_Plano,$BF20))/m_Annual</f>
        <v>7.916666666666667</v>
      </c>
      <c r="BJ20" s="16">
        <f>(SUMIFS(b_Total,b_Tipo,"Annual",b_Renov,"No",b_Inicio,"&lt;="&amp;ref_Date,b_Inicio,"&gt;"&amp;EDATE(ref_Date,-m_Annual),b_Plano,$BF20))/m_Annual</f>
        <v>2.0833333333333335</v>
      </c>
      <c r="BK20" s="31" t="s">
        <v>53</v>
      </c>
      <c r="BL20" s="32"/>
      <c r="BM20" s="16">
        <f>((SUMIFS(b_PrecoPlano,b_Tipo,"Annual",b_Renov,"Yes",b_Inicio,"&lt;="&amp;ref_Date,b_Plano,"*")+SUMIFS(b_PrecoPlano,b_Tipo,"Annual",b_Renov,"No",b_Inicio,"&lt;="&amp;ref_Date,b_Inicio,"&gt;"&amp;EDATE(ref_Date,-m_Annual),b_Plano,"*"))/m_Annual)</f>
        <v>57.5</v>
      </c>
      <c r="BN20" s="16">
        <f>BM20*12</f>
        <v>690</v>
      </c>
      <c r="BO20" s="17">
        <f>IFERROR(BM20/BM$24,0)</f>
        <v>0.39338654503990883</v>
      </c>
    </row>
    <row r="21" spans="2:67">
      <c r="B21" s="10" t="s">
        <v>54</v>
      </c>
      <c r="C21" s="58">
        <v>12</v>
      </c>
      <c r="E21" s="31" t="s">
        <v>12</v>
      </c>
      <c r="F21" s="32"/>
      <c r="G21" s="16">
        <f>(SUMIFS(b_Total,b_Tipo,"Monthly",b_Renov,"Yes",b_Inicio,"&lt;="&amp;ref_Date,b_Plano,"*")+SUMIFS(b_Total,b_Tipo,"Monthly",b_Renov,"No",b_Inicio,"&lt;="&amp;ref_Date,b_Inicio,"&gt;"&amp;EDATE(ref_Date,-m_Monthly),b_Plano,"*"))/m_Monthly+(SUMIFS(b_Total,b_Tipo,"Quarterly",b_Renov,"Yes",b_Inicio,"&lt;="&amp;ref_Date,b_Plano,"*")+SUMIFS(b_Total,b_Tipo,"Quarterly",b_Renov,"No",b_Inicio,"&lt;="&amp;ref_Date,b_Inicio,"&gt;"&amp;EDATE(ref_Date,-m_Quarterly),b_Plano,"*"))/m_Quarterly+(SUMIFS(b_Total,b_Tipo,"Annual",b_Renov,"Yes",b_Inicio,"&lt;="&amp;ref_Date,b_Plano,"*")+SUMIFS(b_Total,b_Tipo,"Annual",b_Renov,"No",b_Inicio,"&lt;="&amp;ref_Date,b_Inicio,"&gt;"&amp;EDATE(ref_Date,-m_Annual),b_Plano,"*"))/m_Annual</f>
        <v>1848.1666666666667</v>
      </c>
      <c r="H21" s="16">
        <f>(SUMIFS(b_Total,b_Tipo,"Monthly",b_Renov,"Yes",b_Inicio,"&lt;="&amp;ref_Date,b_Plano,"*"))/m_Monthly+(SUMIFS(b_Total,b_Tipo,"Quarterly",b_Renov,"Yes",b_Inicio,"&lt;="&amp;ref_Date,b_Plano,"*"))/m_Quarterly+(SUMIFS(b_Total,b_Tipo,"Annual",b_Renov,"Yes",b_Inicio,"&lt;="&amp;ref_Date,b_Plano,"*"))/m_Annual</f>
        <v>1375.75</v>
      </c>
      <c r="I21" s="16">
        <f>(SUMIFS(b_Total,b_Tipo,"Monthly",b_Renov,"No",b_Inicio,"&lt;="&amp;ref_Date,b_Inicio,"&gt;"&amp;EDATE(ref_Date,-m_Monthly),b_Plano,"*"))/m_Monthly+(SUMIFS(b_Total,b_Tipo,"Quarterly",b_Renov,"No",b_Inicio,"&lt;="&amp;ref_Date,b_Inicio,"&gt;"&amp;EDATE(ref_Date,-m_Quarterly),b_Plano,"*"))/m_Quarterly+(SUMIFS(b_Total,b_Tipo,"Annual",b_Renov,"No",b_Inicio,"&lt;="&amp;ref_Date,b_Inicio,"&gt;"&amp;EDATE(ref_Date,-m_Annual),b_Plano,"*"))/m_Annual</f>
        <v>472.41666666666663</v>
      </c>
      <c r="J21" s="15" t="s">
        <v>55</v>
      </c>
      <c r="K21" s="14">
        <f>(COUNTIFS(b_Tipo,"Monthly",b_Renov,"Yes",b_Inicio,"&lt;="&amp;ref_Date,b_Plano,$J21)+COUNTIFS(b_Tipo,"Monthly",b_Renov,"No",b_Inicio,"&lt;="&amp;ref_Date,b_Inicio,"&gt;"&amp;EDATE(ref_Date,-m_Monthly),b_Plano,$J21))+(COUNTIFS(b_Tipo,"Quarterly",b_Renov,"Yes",b_Inicio,"&lt;="&amp;ref_Date,b_Plano,$J21)+COUNTIFS(b_Tipo,"Quarterly",b_Renov,"No",b_Inicio,"&lt;="&amp;ref_Date,b_Inicio,"&gt;"&amp;EDATE(ref_Date,-m_Quarterly),b_Plano,$J21))+(COUNTIFS(b_Tipo,"Annual",b_Renov,"Yes",b_Inicio,"&lt;="&amp;ref_Date,b_Plano,$J21)+COUNTIFS(b_Tipo,"Annual",b_Renov,"No",b_Inicio,"&lt;="&amp;ref_Date,b_Inicio,"&gt;"&amp;EDATE(ref_Date,-m_Annual),b_Plano,$J21))</f>
        <v>58</v>
      </c>
      <c r="L21" s="16">
        <f>(SUMIFS(b_Total,b_Tipo,"Monthly",b_Renov,"Yes",b_Inicio,"&lt;="&amp;ref_Date,b_Plano,$J21)+SUMIFS(b_Total,b_Tipo,"Monthly",b_Renov,"No",b_Inicio,"&lt;="&amp;ref_Date,b_Inicio,"&gt;"&amp;EDATE(ref_Date,-m_Monthly),b_Plano,$J21))/m_Monthly+(SUMIFS(b_Total,b_Tipo,"Quarterly",b_Renov,"Yes",b_Inicio,"&lt;="&amp;ref_Date,b_Plano,$J21)+SUMIFS(b_Total,b_Tipo,"Quarterly",b_Renov,"No",b_Inicio,"&lt;="&amp;ref_Date,b_Inicio,"&gt;"&amp;EDATE(ref_Date,-m_Quarterly),b_Plano,$J21))/m_Quarterly+(SUMIFS(b_Total,b_Tipo,"Annual",b_Renov,"Yes",b_Inicio,"&lt;="&amp;ref_Date,b_Plano,$J21)+SUMIFS(b_Total,b_Tipo,"Annual",b_Renov,"No",b_Inicio,"&lt;="&amp;ref_Date,b_Inicio,"&gt;"&amp;EDATE(ref_Date,-m_Annual),b_Plano,$J21))/m_Annual</f>
        <v>362</v>
      </c>
      <c r="M21" s="16">
        <f>(SUMIFS(b_Total,b_Tipo,"Monthly",b_Renov,"Yes",b_Inicio,"&lt;="&amp;ref_Date,b_Plano,$J21))/m_Monthly+(SUMIFS(b_Total,b_Tipo,"Quarterly",b_Renov,"Yes",b_Inicio,"&lt;="&amp;ref_Date,b_Plano,$J21))/m_Quarterly+(SUMIFS(b_Total,b_Tipo,"Annual",b_Renov,"Yes",b_Inicio,"&lt;="&amp;ref_Date,b_Plano,$J21))/m_Annual</f>
        <v>256.16666666666669</v>
      </c>
      <c r="N21" s="16">
        <f>(SUMIFS(b_Total,b_Tipo,"Monthly",b_Renov,"No",b_Inicio,"&lt;="&amp;ref_Date,b_Inicio,"&gt;"&amp;EDATE(ref_Date,-m_Monthly),b_Plano,$J21))/m_Monthly+(SUMIFS(b_Total,b_Tipo,"Quarterly",b_Renov,"No",b_Inicio,"&lt;="&amp;ref_Date,b_Inicio,"&gt;"&amp;EDATE(ref_Date,-m_Quarterly),b_Plano,$J21))/m_Quarterly+(SUMIFS(b_Total,b_Tipo,"Annual",b_Renov,"No",b_Inicio,"&lt;="&amp;ref_Date,b_Inicio,"&gt;"&amp;EDATE(ref_Date,-m_Annual),b_Plano,$J21))/m_Annual</f>
        <v>105.83333333333333</v>
      </c>
      <c r="O21" s="15" t="s">
        <v>56</v>
      </c>
      <c r="P21" s="14">
        <f>(COUNTIFS(b_Tipo,"Quarterly",b_Renov,"Yes",b_Inicio,"&lt;="&amp;ref_Date,b_Plano,"*")+COUNTIFS(b_Tipo,"Quarterly",b_Renov,"No",b_Inicio,"&lt;="&amp;ref_Date,b_Inicio,"&gt;"&amp;EDATE(ref_Date,-m_Quarterly),b_Plano,"*"))</f>
        <v>66</v>
      </c>
      <c r="Q21" s="16">
        <f>(SUMIFS(b_Total,b_Tipo,"Quarterly",b_Renov,"Yes",b_Inicio,"&lt;="&amp;ref_Date,b_Plano,"*")+SUMIFS(b_Total,b_Tipo,"Quarterly",b_Renov,"No",b_Inicio,"&lt;="&amp;ref_Date,b_Inicio,"&gt;"&amp;EDATE(ref_Date,-m_Quarterly),b_Plano,"*"))/m_Quarterly</f>
        <v>572</v>
      </c>
      <c r="R21" s="16">
        <f>(SUMIFS(b_Total,b_Tipo,"Quarterly",b_Renov,"Yes",b_Inicio,"&lt;="&amp;ref_Date,b_Plano,"*"))/m_Quarterly</f>
        <v>500.66666666666669</v>
      </c>
      <c r="S21" s="16">
        <f>(SUMIFS(b_Total,b_Tipo,"Quarterly",b_Renov,"No",b_Inicio,"&lt;="&amp;ref_Date,b_Inicio,"&gt;"&amp;EDATE(ref_Date,-m_Quarterly),b_Plano,"*"))/m_Quarterly</f>
        <v>71.333333333333329</v>
      </c>
      <c r="U21" s="31" t="s">
        <v>12</v>
      </c>
      <c r="V21" s="32"/>
      <c r="W21" s="16">
        <f>(SUMIFS(b_Total,b_Tipo,"Monthly",b_Renov,"Yes",b_Inicio,"&lt;="&amp;ref_Date,b_Plano,"*")+SUMIFS(b_Total,b_Tipo,"Monthly",b_Renov,"No",b_Inicio,"&lt;="&amp;ref_Date,b_Inicio,"&gt;"&amp;EDATE(ref_Date,-m_Monthly),b_Plano,"*"))/m_Monthly</f>
        <v>1130</v>
      </c>
      <c r="X21" s="16">
        <f>(SUMIFS(b_Total,b_Tipo,"Monthly",b_Renov,"Yes",b_Inicio,"&lt;="&amp;ref_Date,b_Plano,"*"))/m_Monthly</f>
        <v>747</v>
      </c>
      <c r="Y21" s="16">
        <f>(SUMIFS(b_Total,b_Tipo,"Monthly",b_Renov,"No",b_Inicio,"&lt;="&amp;ref_Date,b_Inicio,"&gt;"&amp;EDATE(ref_Date,-m_Monthly),b_Plano,"*"))/m_Monthly</f>
        <v>383</v>
      </c>
      <c r="Z21" s="15" t="s">
        <v>55</v>
      </c>
      <c r="AA21" s="14">
        <f>(COUNTIFS(b_Tipo,"Monthly",b_Renov,"Yes",b_Inicio,"&lt;="&amp;ref_Date,b_Plano,$Z21)+COUNTIFS(b_Tipo,"Monthly",b_Renov,"No",b_Inicio,"&lt;="&amp;ref_Date,b_Inicio,"&gt;"&amp;EDATE(ref_Date,-m_Monthly),b_Plano,$Z21))</f>
        <v>10</v>
      </c>
      <c r="AB21" s="16">
        <f>(SUMIFS(b_Total,b_Tipo,"Monthly",b_Renov,"Yes",b_Inicio,"&lt;="&amp;ref_Date,b_Plano,$Z21)+SUMIFS(b_Total,b_Tipo,"Monthly",b_Renov,"No",b_Inicio,"&lt;="&amp;ref_Date,b_Inicio,"&gt;"&amp;EDATE(ref_Date,-m_Monthly),b_Plano,$Z21))/m_Monthly</f>
        <v>210</v>
      </c>
      <c r="AC21" s="16">
        <f>(SUMIFS(b_Total,b_Tipo,"Monthly",b_Renov,"Yes",b_Inicio,"&lt;="&amp;ref_Date,b_Plano,$Z21))/m_Monthly</f>
        <v>110</v>
      </c>
      <c r="AD21" s="16">
        <f>(SUMIFS(b_Total,b_Tipo,"Monthly",b_Renov,"No",b_Inicio,"&lt;="&amp;ref_Date,b_Inicio,"&gt;"&amp;EDATE(ref_Date,-m_Monthly),b_Plano,$Z21))/m_Monthly</f>
        <v>100</v>
      </c>
      <c r="AE21" s="31" t="s">
        <v>57</v>
      </c>
      <c r="AF21" s="32"/>
      <c r="AG21" s="16">
        <f>((SUMIFS(b_EAPreco,b_Tipo,"Monthly",b_Renov,"Yes",b_Inicio,"&lt;="&amp;ref_Date,b_Plano,"*")+SUMIFS(b_EAPreco,b_Tipo,"Monthly",b_Renov,"No",b_Inicio,"&lt;="&amp;ref_Date,b_Inicio,"&gt;"&amp;EDATE(ref_Date,-m_Monthly),b_Plano,"*"))/m_Monthly)</f>
        <v>480</v>
      </c>
      <c r="AH21" s="16">
        <f>AG21*12</f>
        <v>5760</v>
      </c>
      <c r="AI21" s="17">
        <f>IFERROR(AG21/AG$24,0)</f>
        <v>0.4247787610619469</v>
      </c>
      <c r="AK21" s="31" t="s">
        <v>12</v>
      </c>
      <c r="AL21" s="32"/>
      <c r="AM21" s="16">
        <f>(SUMIFS(b_Total,b_Tipo,"Quarterly",b_Renov,"Yes",b_Inicio,"&lt;="&amp;ref_Date,b_Plano,"*")+SUMIFS(b_Total,b_Tipo,"Quarterly",b_Renov,"No",b_Inicio,"&lt;="&amp;ref_Date,b_Inicio,"&gt;"&amp;EDATE(ref_Date,-m_Quarterly),b_Plano,"*"))/m_Quarterly</f>
        <v>572</v>
      </c>
      <c r="AN21" s="16">
        <f>(SUMIFS(b_Total,b_Tipo,"Quarterly",b_Renov,"Yes",b_Inicio,"&lt;="&amp;ref_Date,b_Plano,"*"))/m_Quarterly</f>
        <v>500.66666666666669</v>
      </c>
      <c r="AO21" s="16">
        <f>(SUMIFS(b_Total,b_Tipo,"Quarterly",b_Renov,"No",b_Inicio,"&lt;="&amp;ref_Date,b_Inicio,"&gt;"&amp;EDATE(ref_Date,-m_Quarterly),b_Plano,"*"))/m_Quarterly</f>
        <v>71.333333333333329</v>
      </c>
      <c r="AP21" s="15" t="s">
        <v>55</v>
      </c>
      <c r="AQ21" s="14">
        <f>(COUNTIFS(b_Tipo,"Quarterly",b_Renov,"Yes",b_Inicio,"&lt;="&amp;ref_Date,b_Plano,$AP21)+COUNTIFS(b_Tipo,"Quarterly",b_Renov,"No",b_Inicio,"&lt;="&amp;ref_Date,b_Inicio,"&gt;"&amp;EDATE(ref_Date,-m_Quarterly),b_Plano,$AP21))</f>
        <v>21</v>
      </c>
      <c r="AR21" s="16">
        <f>(SUMIFS(b_Total,b_Tipo,"Quarterly",b_Renov,"Yes",b_Inicio,"&lt;="&amp;ref_Date,b_Plano,$AP21)+SUMIFS(b_Total,b_Tipo,"Quarterly",b_Renov,"No",b_Inicio,"&lt;="&amp;ref_Date,b_Inicio,"&gt;"&amp;EDATE(ref_Date,-m_Quarterly),b_Plano,$AP21))/m_Quarterly</f>
        <v>114.66666666666667</v>
      </c>
      <c r="AS21" s="16">
        <f>(SUMIFS(b_Total,b_Tipo,"Quarterly",b_Renov,"Yes",b_Inicio,"&lt;="&amp;ref_Date,b_Plano,$AP21))/m_Quarterly</f>
        <v>114.66666666666667</v>
      </c>
      <c r="AT21" s="16">
        <f>(SUMIFS(b_Total,b_Tipo,"Quarterly",b_Renov,"No",b_Inicio,"&lt;="&amp;ref_Date,b_Inicio,"&gt;"&amp;EDATE(ref_Date,-m_Quarterly),b_Plano,$AP21))/m_Quarterly</f>
        <v>0</v>
      </c>
      <c r="AU21" s="31" t="s">
        <v>57</v>
      </c>
      <c r="AV21" s="32"/>
      <c r="AW21" s="16">
        <f>((SUMIFS(b_EAPreco,b_Tipo,"Quarterly",b_Renov,"Yes",b_Inicio,"&lt;="&amp;ref_Date,b_Plano,"*")+SUMIFS(b_EAPreco,b_Tipo,"Quarterly",b_Renov,"No",b_Inicio,"&lt;="&amp;ref_Date,b_Inicio,"&gt;"&amp;EDATE(ref_Date,-m_Quarterly),b_Plano,"*"))/m_Quarterly)</f>
        <v>230</v>
      </c>
      <c r="AX21" s="16">
        <f>AW21*12</f>
        <v>2760</v>
      </c>
      <c r="AY21" s="17">
        <f>IFERROR(AW21/AW$24,0)</f>
        <v>0.40209790209790208</v>
      </c>
      <c r="BA21" s="31" t="s">
        <v>12</v>
      </c>
      <c r="BB21" s="32"/>
      <c r="BC21" s="16">
        <f>(SUMIFS(b_Total,b_Tipo,"Annual",b_Renov,"Yes",b_Inicio,"&lt;="&amp;ref_Date,b_Plano,"*")+SUMIFS(b_Total,b_Tipo,"Annual",b_Renov,"No",b_Inicio,"&lt;="&amp;ref_Date,b_Inicio,"&gt;"&amp;EDATE(ref_Date,-m_Annual),b_Plano,"*"))/m_Annual</f>
        <v>146.16666666666666</v>
      </c>
      <c r="BD21" s="16">
        <f>(SUMIFS(b_Total,b_Tipo,"Annual",b_Renov,"Yes",b_Inicio,"&lt;="&amp;ref_Date,b_Plano,"*"))/m_Annual</f>
        <v>128.08333333333334</v>
      </c>
      <c r="BE21" s="16">
        <f>(SUMIFS(b_Total,b_Tipo,"Annual",b_Renov,"No",b_Inicio,"&lt;="&amp;ref_Date,b_Inicio,"&gt;"&amp;EDATE(ref_Date,-m_Annual),b_Plano,"*"))/m_Annual</f>
        <v>18.083333333333332</v>
      </c>
      <c r="BF21" s="15" t="s">
        <v>55</v>
      </c>
      <c r="BG21" s="14">
        <f>(COUNTIFS(b_Tipo,"Annual",b_Renov,"Yes",b_Inicio,"&lt;="&amp;ref_Date,b_Plano,$BF21)+COUNTIFS(b_Tipo,"Annual",b_Renov,"No",b_Inicio,"&lt;="&amp;ref_Date,b_Inicio,"&gt;"&amp;EDATE(ref_Date,-m_Annual),b_Plano,$BF21))</f>
        <v>27</v>
      </c>
      <c r="BH21" s="16">
        <f>(SUMIFS(b_Total,b_Tipo,"Annual",b_Renov,"Yes",b_Inicio,"&lt;="&amp;ref_Date,b_Plano,$BF21)+SUMIFS(b_Total,b_Tipo,"Annual",b_Renov,"No",b_Inicio,"&lt;="&amp;ref_Date,b_Inicio,"&gt;"&amp;EDATE(ref_Date,-m_Annual),b_Plano,$BF21))/m_Annual</f>
        <v>37.333333333333336</v>
      </c>
      <c r="BI21" s="16">
        <f>(SUMIFS(b_Total,b_Tipo,"Annual",b_Renov,"Yes",b_Inicio,"&lt;="&amp;ref_Date,b_Plano,$BF21))/m_Annual</f>
        <v>31.5</v>
      </c>
      <c r="BJ21" s="16">
        <f>(SUMIFS(b_Total,b_Tipo,"Annual",b_Renov,"No",b_Inicio,"&lt;="&amp;ref_Date,b_Inicio,"&gt;"&amp;EDATE(ref_Date,-m_Annual),b_Plano,$BF21))/m_Annual</f>
        <v>5.833333333333333</v>
      </c>
      <c r="BK21" s="31" t="s">
        <v>57</v>
      </c>
      <c r="BL21" s="32"/>
      <c r="BM21" s="16">
        <f>((SUMIFS(b_EAPreco,b_Tipo,"Annual",b_Renov,"Yes",b_Inicio,"&lt;="&amp;ref_Date,b_Plano,"*")+SUMIFS(b_EAPreco,b_Tipo,"Annual",b_Renov,"No",b_Inicio,"&lt;="&amp;ref_Date,b_Inicio,"&gt;"&amp;EDATE(ref_Date,-m_Annual),b_Plano,"*"))/m_Annual)</f>
        <v>50</v>
      </c>
      <c r="BN21" s="16">
        <f>BM21*12</f>
        <v>600</v>
      </c>
      <c r="BO21" s="17">
        <f>IFERROR(BM21/BM$24,0)</f>
        <v>0.34207525655644244</v>
      </c>
    </row>
    <row r="22" spans="2:67">
      <c r="B22" s="10" t="s">
        <v>58</v>
      </c>
      <c r="C22" s="11">
        <f>MAX(b_Inicio)</f>
        <v>45642</v>
      </c>
      <c r="E22" s="31" t="s">
        <v>13</v>
      </c>
      <c r="F22" s="32"/>
      <c r="G22" s="16">
        <f>G21*12</f>
        <v>22178</v>
      </c>
      <c r="H22" s="16">
        <f>H21*12</f>
        <v>16509</v>
      </c>
      <c r="I22" s="16">
        <f>I21*12</f>
        <v>5669</v>
      </c>
      <c r="J22" s="15" t="s">
        <v>59</v>
      </c>
      <c r="K22" s="14">
        <f>(COUNTIFS(b_Tipo,"Monthly",b_Renov,"Yes",b_Inicio,"&lt;="&amp;ref_Date,b_Plano,$J22)+COUNTIFS(b_Tipo,"Monthly",b_Renov,"No",b_Inicio,"&lt;="&amp;ref_Date,b_Inicio,"&gt;"&amp;EDATE(ref_Date,-m_Monthly),b_Plano,$J22))+(COUNTIFS(b_Tipo,"Quarterly",b_Renov,"Yes",b_Inicio,"&lt;="&amp;ref_Date,b_Plano,$J22)+COUNTIFS(b_Tipo,"Quarterly",b_Renov,"No",b_Inicio,"&lt;="&amp;ref_Date,b_Inicio,"&gt;"&amp;EDATE(ref_Date,-m_Quarterly),b_Plano,$J22))+(COUNTIFS(b_Tipo,"Annual",b_Renov,"Yes",b_Inicio,"&lt;="&amp;ref_Date,b_Plano,$J22)+COUNTIFS(b_Tipo,"Annual",b_Renov,"No",b_Inicio,"&lt;="&amp;ref_Date,b_Inicio,"&gt;"&amp;EDATE(ref_Date,-m_Annual),b_Plano,$J22))</f>
        <v>59</v>
      </c>
      <c r="L22" s="16">
        <f>(SUMIFS(b_Total,b_Tipo,"Monthly",b_Renov,"Yes",b_Inicio,"&lt;="&amp;ref_Date,b_Plano,$J22)+SUMIFS(b_Total,b_Tipo,"Monthly",b_Renov,"No",b_Inicio,"&lt;="&amp;ref_Date,b_Inicio,"&gt;"&amp;EDATE(ref_Date,-m_Monthly),b_Plano,$J22))/m_Monthly+(SUMIFS(b_Total,b_Tipo,"Quarterly",b_Renov,"Yes",b_Inicio,"&lt;="&amp;ref_Date,b_Plano,$J22)+SUMIFS(b_Total,b_Tipo,"Quarterly",b_Renov,"No",b_Inicio,"&lt;="&amp;ref_Date,b_Inicio,"&gt;"&amp;EDATE(ref_Date,-m_Quarterly),b_Plano,$J22))/m_Quarterly+(SUMIFS(b_Total,b_Tipo,"Annual",b_Renov,"Yes",b_Inicio,"&lt;="&amp;ref_Date,b_Plano,$J22)+SUMIFS(b_Total,b_Tipo,"Annual",b_Renov,"No",b_Inicio,"&lt;="&amp;ref_Date,b_Inicio,"&gt;"&amp;EDATE(ref_Date,-m_Annual),b_Plano,$J22))/m_Annual</f>
        <v>1369.8333333333333</v>
      </c>
      <c r="M22" s="16">
        <f>(SUMIFS(b_Total,b_Tipo,"Monthly",b_Renov,"Yes",b_Inicio,"&lt;="&amp;ref_Date,b_Plano,$J22))/m_Monthly+(SUMIFS(b_Total,b_Tipo,"Quarterly",b_Renov,"Yes",b_Inicio,"&lt;="&amp;ref_Date,b_Plano,$J22))/m_Quarterly+(SUMIFS(b_Total,b_Tipo,"Annual",b_Renov,"Yes",b_Inicio,"&lt;="&amp;ref_Date,b_Plano,$J22))/m_Annual</f>
        <v>1027</v>
      </c>
      <c r="N22" s="16">
        <f>(SUMIFS(b_Total,b_Tipo,"Monthly",b_Renov,"No",b_Inicio,"&lt;="&amp;ref_Date,b_Inicio,"&gt;"&amp;EDATE(ref_Date,-m_Monthly),b_Plano,$J22))/m_Monthly+(SUMIFS(b_Total,b_Tipo,"Quarterly",b_Renov,"No",b_Inicio,"&lt;="&amp;ref_Date,b_Inicio,"&gt;"&amp;EDATE(ref_Date,-m_Quarterly),b_Plano,$J22))/m_Quarterly+(SUMIFS(b_Total,b_Tipo,"Annual",b_Renov,"No",b_Inicio,"&lt;="&amp;ref_Date,b_Inicio,"&gt;"&amp;EDATE(ref_Date,-m_Annual),b_Plano,$J22))/m_Annual</f>
        <v>342.83333333333337</v>
      </c>
      <c r="O22" s="15" t="s">
        <v>60</v>
      </c>
      <c r="P22" s="14">
        <f>(COUNTIFS(b_Tipo,"Annual",b_Renov,"Yes",b_Inicio,"&lt;="&amp;ref_Date,b_Plano,"*")+COUNTIFS(b_Tipo,"Annual",b_Renov,"No",b_Inicio,"&lt;="&amp;ref_Date,b_Inicio,"&gt;"&amp;EDATE(ref_Date,-m_Annual),b_Plano,"*"))</f>
        <v>71</v>
      </c>
      <c r="Q22" s="16">
        <f>(SUMIFS(b_Total,b_Tipo,"Annual",b_Renov,"Yes",b_Inicio,"&lt;="&amp;ref_Date,b_Plano,"*")+SUMIFS(b_Total,b_Tipo,"Annual",b_Renov,"No",b_Inicio,"&lt;="&amp;ref_Date,b_Inicio,"&gt;"&amp;EDATE(ref_Date,-m_Annual),b_Plano,"*"))/m_Annual</f>
        <v>146.16666666666666</v>
      </c>
      <c r="R22" s="16">
        <f>(SUMIFS(b_Total,b_Tipo,"Annual",b_Renov,"Yes",b_Inicio,"&lt;="&amp;ref_Date,b_Plano,"*"))/m_Annual</f>
        <v>128.08333333333334</v>
      </c>
      <c r="S22" s="16">
        <f>(SUMIFS(b_Total,b_Tipo,"Annual",b_Renov,"No",b_Inicio,"&lt;="&amp;ref_Date,b_Inicio,"&gt;"&amp;EDATE(ref_Date,-m_Annual),b_Plano,"*"))/m_Annual</f>
        <v>18.083333333333332</v>
      </c>
      <c r="U22" s="31" t="s">
        <v>13</v>
      </c>
      <c r="V22" s="32"/>
      <c r="W22" s="16">
        <f>W21*12</f>
        <v>13560</v>
      </c>
      <c r="X22" s="16">
        <f>X21*12</f>
        <v>8964</v>
      </c>
      <c r="Y22" s="16">
        <f>Y21*12</f>
        <v>4596</v>
      </c>
      <c r="Z22" s="15" t="s">
        <v>59</v>
      </c>
      <c r="AA22" s="14">
        <f>(COUNTIFS(b_Tipo,"Monthly",b_Renov,"Yes",b_Inicio,"&lt;="&amp;ref_Date,b_Plano,$Z22)+COUNTIFS(b_Tipo,"Monthly",b_Renov,"No",b_Inicio,"&lt;="&amp;ref_Date,b_Inicio,"&gt;"&amp;EDATE(ref_Date,-m_Monthly),b_Plano,$Z22))</f>
        <v>16</v>
      </c>
      <c r="AB22" s="16">
        <f>(SUMIFS(b_Total,b_Tipo,"Monthly",b_Renov,"Yes",b_Inicio,"&lt;="&amp;ref_Date,b_Plano,$Z22)+SUMIFS(b_Total,b_Tipo,"Monthly",b_Renov,"No",b_Inicio,"&lt;="&amp;ref_Date,b_Inicio,"&gt;"&amp;EDATE(ref_Date,-m_Monthly),b_Plano,$Z22))/m_Monthly</f>
        <v>849</v>
      </c>
      <c r="AC22" s="16">
        <f>(SUMIFS(b_Total,b_Tipo,"Monthly",b_Renov,"Yes",b_Inicio,"&lt;="&amp;ref_Date,b_Plano,$Z22))/m_Monthly</f>
        <v>585</v>
      </c>
      <c r="AD22" s="16">
        <f>(SUMIFS(b_Total,b_Tipo,"Monthly",b_Renov,"No",b_Inicio,"&lt;="&amp;ref_Date,b_Inicio,"&gt;"&amp;EDATE(ref_Date,-m_Monthly),b_Plano,$Z22))/m_Monthly</f>
        <v>264</v>
      </c>
      <c r="AE22" s="31" t="s">
        <v>61</v>
      </c>
      <c r="AF22" s="32"/>
      <c r="AG22" s="16">
        <f>((SUMIFS(b_MCPreco,b_Tipo,"Monthly",b_Renov,"Yes",b_Inicio,"&lt;="&amp;ref_Date,b_Plano,"*")+SUMIFS(b_MCPreco,b_Tipo,"Monthly",b_Renov,"No",b_Inicio,"&lt;="&amp;ref_Date,b_Inicio,"&gt;"&amp;EDATE(ref_Date,-m_Monthly),b_Plano,"*"))/m_Monthly)</f>
        <v>520</v>
      </c>
      <c r="AH22" s="16">
        <f>AG22*12</f>
        <v>6240</v>
      </c>
      <c r="AI22" s="17">
        <f>IFERROR(AG22/AG$24,0)</f>
        <v>0.46017699115044247</v>
      </c>
      <c r="AK22" s="31" t="s">
        <v>13</v>
      </c>
      <c r="AL22" s="32"/>
      <c r="AM22" s="16">
        <f>AM21*12</f>
        <v>6864</v>
      </c>
      <c r="AN22" s="16">
        <f>AN21*12</f>
        <v>6008</v>
      </c>
      <c r="AO22" s="16">
        <f>AO21*12</f>
        <v>856</v>
      </c>
      <c r="AP22" s="15" t="s">
        <v>59</v>
      </c>
      <c r="AQ22" s="14">
        <f>(COUNTIFS(b_Tipo,"Quarterly",b_Renov,"Yes",b_Inicio,"&lt;="&amp;ref_Date,b_Plano,$AP22)+COUNTIFS(b_Tipo,"Quarterly",b_Renov,"No",b_Inicio,"&lt;="&amp;ref_Date,b_Inicio,"&gt;"&amp;EDATE(ref_Date,-m_Quarterly),b_Plano,$AP22))</f>
        <v>23</v>
      </c>
      <c r="AR22" s="16">
        <f>(SUMIFS(b_Total,b_Tipo,"Quarterly",b_Renov,"Yes",b_Inicio,"&lt;="&amp;ref_Date,b_Plano,$AP22)+SUMIFS(b_Total,b_Tipo,"Quarterly",b_Renov,"No",b_Inicio,"&lt;="&amp;ref_Date,b_Inicio,"&gt;"&amp;EDATE(ref_Date,-m_Quarterly),b_Plano,$AP22))/m_Quarterly</f>
        <v>422</v>
      </c>
      <c r="AS22" s="16">
        <f>(SUMIFS(b_Total,b_Tipo,"Quarterly",b_Renov,"Yes",b_Inicio,"&lt;="&amp;ref_Date,b_Plano,$AP22))/m_Quarterly</f>
        <v>353.33333333333331</v>
      </c>
      <c r="AT22" s="16">
        <f>(SUMIFS(b_Total,b_Tipo,"Quarterly",b_Renov,"No",b_Inicio,"&lt;="&amp;ref_Date,b_Inicio,"&gt;"&amp;EDATE(ref_Date,-m_Quarterly),b_Plano,$AP22))/m_Quarterly</f>
        <v>68.666666666666671</v>
      </c>
      <c r="AU22" s="31" t="s">
        <v>61</v>
      </c>
      <c r="AV22" s="32"/>
      <c r="AW22" s="16">
        <f>((SUMIFS(b_MCPreco,b_Tipo,"Quarterly",b_Renov,"Yes",b_Inicio,"&lt;="&amp;ref_Date,b_Plano,"*")+SUMIFS(b_MCPreco,b_Tipo,"Quarterly",b_Renov,"No",b_Inicio,"&lt;="&amp;ref_Date,b_Inicio,"&gt;"&amp;EDATE(ref_Date,-m_Quarterly),b_Plano,"*"))/m_Quarterly)</f>
        <v>293.33333333333331</v>
      </c>
      <c r="AX22" s="16">
        <f>AW22*12</f>
        <v>3520</v>
      </c>
      <c r="AY22" s="17">
        <f>IFERROR(AW22/AW$24,0)</f>
        <v>0.51282051282051277</v>
      </c>
      <c r="BA22" s="31" t="s">
        <v>13</v>
      </c>
      <c r="BB22" s="32"/>
      <c r="BC22" s="16">
        <f>BC21*12</f>
        <v>1754</v>
      </c>
      <c r="BD22" s="16">
        <f>BD21*12</f>
        <v>1537</v>
      </c>
      <c r="BE22" s="16">
        <f>BE21*12</f>
        <v>217</v>
      </c>
      <c r="BF22" s="15" t="s">
        <v>59</v>
      </c>
      <c r="BG22" s="14">
        <f>(COUNTIFS(b_Tipo,"Annual",b_Renov,"Yes",b_Inicio,"&lt;="&amp;ref_Date,b_Plano,$BF22)+COUNTIFS(b_Tipo,"Annual",b_Renov,"No",b_Inicio,"&lt;="&amp;ref_Date,b_Inicio,"&gt;"&amp;EDATE(ref_Date,-m_Annual),b_Plano,$BF22))</f>
        <v>20</v>
      </c>
      <c r="BH22" s="16">
        <f>(SUMIFS(b_Total,b_Tipo,"Annual",b_Renov,"Yes",b_Inicio,"&lt;="&amp;ref_Date,b_Plano,$BF22)+SUMIFS(b_Total,b_Tipo,"Annual",b_Renov,"No",b_Inicio,"&lt;="&amp;ref_Date,b_Inicio,"&gt;"&amp;EDATE(ref_Date,-m_Annual),b_Plano,$BF22))/m_Annual</f>
        <v>98.833333333333329</v>
      </c>
      <c r="BI22" s="16">
        <f>(SUMIFS(b_Total,b_Tipo,"Annual",b_Renov,"Yes",b_Inicio,"&lt;="&amp;ref_Date,b_Plano,$BF22))/m_Annual</f>
        <v>88.666666666666671</v>
      </c>
      <c r="BJ22" s="16">
        <f>(SUMIFS(b_Total,b_Tipo,"Annual",b_Renov,"No",b_Inicio,"&lt;="&amp;ref_Date,b_Inicio,"&gt;"&amp;EDATE(ref_Date,-m_Annual),b_Plano,$BF22))/m_Annual</f>
        <v>10.166666666666666</v>
      </c>
      <c r="BK22" s="31" t="s">
        <v>61</v>
      </c>
      <c r="BL22" s="32"/>
      <c r="BM22" s="16">
        <f>((SUMIFS(b_MCPreco,b_Tipo,"Annual",b_Renov,"Yes",b_Inicio,"&lt;="&amp;ref_Date,b_Plano,"*")+SUMIFS(b_MCPreco,b_Tipo,"Annual",b_Renov,"No",b_Inicio,"&lt;="&amp;ref_Date,b_Inicio,"&gt;"&amp;EDATE(ref_Date,-m_Annual),b_Plano,"*"))/m_Annual)</f>
        <v>78.333333333333329</v>
      </c>
      <c r="BN22" s="16">
        <f>BM22*12</f>
        <v>940</v>
      </c>
      <c r="BO22" s="17">
        <f>IFERROR(BM22/BM$24,0)</f>
        <v>0.53591790193842648</v>
      </c>
    </row>
    <row r="23" spans="2:67">
      <c r="B23" s="10" t="s">
        <v>62</v>
      </c>
      <c r="C23" s="11">
        <f>MIN(b_Inicio)</f>
        <v>45292</v>
      </c>
      <c r="E23" s="31" t="s">
        <v>14</v>
      </c>
      <c r="F23" s="32"/>
      <c r="G23" s="18">
        <f>IFERROR(G21/G20,0)</f>
        <v>10.267592592592592</v>
      </c>
      <c r="H23" s="18">
        <f>IFERROR(H21/H20,0)</f>
        <v>9.2956081081081088</v>
      </c>
      <c r="I23" s="18">
        <f>IFERROR(I21/I20,0)</f>
        <v>14.763020833333332</v>
      </c>
      <c r="J23" s="21" t="s">
        <v>41</v>
      </c>
      <c r="K23" s="19">
        <f>SUM(K20:K22)</f>
        <v>180</v>
      </c>
      <c r="L23" s="20">
        <f>SUM(L20:L22)</f>
        <v>1848.1666666666665</v>
      </c>
      <c r="M23" s="20">
        <f>SUM(M20:M22)</f>
        <v>1375.75</v>
      </c>
      <c r="N23" s="20">
        <f>SUM(N20:N22)</f>
        <v>472.41666666666669</v>
      </c>
      <c r="O23" s="21" t="s">
        <v>41</v>
      </c>
      <c r="P23" s="19">
        <f>SUM(P20:P22)</f>
        <v>180</v>
      </c>
      <c r="Q23" s="20">
        <f>SUM(Q20:Q22)</f>
        <v>1848.1666666666667</v>
      </c>
      <c r="R23" s="20">
        <f>SUM(R20:R22)</f>
        <v>1375.75</v>
      </c>
      <c r="S23" s="20">
        <f>SUM(S20:S22)</f>
        <v>472.41666666666663</v>
      </c>
      <c r="U23" s="31" t="s">
        <v>14</v>
      </c>
      <c r="V23" s="32"/>
      <c r="W23" s="18">
        <f>IFERROR(W21/W20,0)</f>
        <v>26.279069767441861</v>
      </c>
      <c r="X23" s="18">
        <f>IFERROR(X21/X20,0)</f>
        <v>26.678571428571427</v>
      </c>
      <c r="Y23" s="18">
        <f>IFERROR(Y21/Y20,0)</f>
        <v>25.533333333333335</v>
      </c>
      <c r="Z23" s="21" t="s">
        <v>41</v>
      </c>
      <c r="AA23" s="19">
        <f>SUM(AA20:AA22)</f>
        <v>43</v>
      </c>
      <c r="AB23" s="20">
        <f>SUM(AB20:AB22)</f>
        <v>1130</v>
      </c>
      <c r="AC23" s="20">
        <f>SUM(AC20:AC22)</f>
        <v>747</v>
      </c>
      <c r="AD23" s="20">
        <f>SUM(AD20:AD22)</f>
        <v>383</v>
      </c>
      <c r="AE23" s="31" t="s">
        <v>63</v>
      </c>
      <c r="AF23" s="32"/>
      <c r="AG23" s="16">
        <f>-((SUMIFS(b_Cupom,b_Tipo,"Monthly",b_Renov,"Yes",b_Inicio,"&lt;="&amp;ref_Date,b_Plano,"*")+SUMIFS(b_Cupom,b_Tipo,"Monthly",b_Renov,"No",b_Inicio,"&lt;="&amp;ref_Date,b_Inicio,"&gt;"&amp;EDATE(ref_Date,-m_Monthly),b_Plano,"*"))/m_Monthly)</f>
        <v>-295</v>
      </c>
      <c r="AH23" s="16">
        <f>AG23*12</f>
        <v>-3540</v>
      </c>
      <c r="AI23" s="17">
        <f>IFERROR(AG23/AG$24,0)</f>
        <v>-0.26106194690265488</v>
      </c>
      <c r="AK23" s="31" t="s">
        <v>14</v>
      </c>
      <c r="AL23" s="32"/>
      <c r="AM23" s="18">
        <f>IFERROR(AM21/AM20,0)</f>
        <v>8.6666666666666661</v>
      </c>
      <c r="AN23" s="18">
        <f>IFERROR(AN21/AN20,0)</f>
        <v>8.344444444444445</v>
      </c>
      <c r="AO23" s="18">
        <f>IFERROR(AO21/AO20,0)</f>
        <v>11.888888888888888</v>
      </c>
      <c r="AP23" s="21" t="s">
        <v>41</v>
      </c>
      <c r="AQ23" s="19">
        <f>SUM(AQ20:AQ22)</f>
        <v>66</v>
      </c>
      <c r="AR23" s="20">
        <f>SUM(AR20:AR22)</f>
        <v>572</v>
      </c>
      <c r="AS23" s="20">
        <f>SUM(AS20:AS22)</f>
        <v>500.66666666666663</v>
      </c>
      <c r="AT23" s="20">
        <f>SUM(AT20:AT22)</f>
        <v>71.333333333333343</v>
      </c>
      <c r="AU23" s="31" t="s">
        <v>63</v>
      </c>
      <c r="AV23" s="32"/>
      <c r="AW23" s="16">
        <f>-((SUMIFS(b_Cupom,b_Tipo,"Quarterly",b_Renov,"Yes",b_Inicio,"&lt;="&amp;ref_Date,b_Plano,"*")+SUMIFS(b_Cupom,b_Tipo,"Quarterly",b_Renov,"No",b_Inicio,"&lt;="&amp;ref_Date,b_Inicio,"&gt;"&amp;EDATE(ref_Date,-m_Quarterly),b_Plano,"*"))/m_Quarterly)</f>
        <v>-173</v>
      </c>
      <c r="AX23" s="16">
        <f>AW23*12</f>
        <v>-2076</v>
      </c>
      <c r="AY23" s="17">
        <f>IFERROR(AW23/AW$24,0)</f>
        <v>-0.30244755244755245</v>
      </c>
      <c r="BA23" s="31" t="s">
        <v>14</v>
      </c>
      <c r="BB23" s="32"/>
      <c r="BC23" s="18">
        <f>IFERROR(BC21/BC20,0)</f>
        <v>2.0586854460093895</v>
      </c>
      <c r="BD23" s="18">
        <f>IFERROR(BD21/BD20,0)</f>
        <v>2.1347222222222224</v>
      </c>
      <c r="BE23" s="18">
        <f>IFERROR(BE21/BE20,0)</f>
        <v>1.6439393939393938</v>
      </c>
      <c r="BF23" s="21" t="s">
        <v>41</v>
      </c>
      <c r="BG23" s="19">
        <f>SUM(BG20:BG22)</f>
        <v>71</v>
      </c>
      <c r="BH23" s="20">
        <f>SUM(BH20:BH22)</f>
        <v>146.16666666666666</v>
      </c>
      <c r="BI23" s="20">
        <f>SUM(BI20:BI22)</f>
        <v>128.08333333333334</v>
      </c>
      <c r="BJ23" s="20">
        <f>SUM(BJ20:BJ22)</f>
        <v>18.083333333333332</v>
      </c>
      <c r="BK23" s="31" t="s">
        <v>63</v>
      </c>
      <c r="BL23" s="32"/>
      <c r="BM23" s="16">
        <f>-((SUMIFS(b_Cupom,b_Tipo,"Annual",b_Renov,"Yes",b_Inicio,"&lt;="&amp;ref_Date,b_Plano,"*")+SUMIFS(b_Cupom,b_Tipo,"Annual",b_Renov,"No",b_Inicio,"&lt;="&amp;ref_Date,b_Inicio,"&gt;"&amp;EDATE(ref_Date,-m_Annual),b_Plano,"*"))/m_Annual)</f>
        <v>-39.666666666666664</v>
      </c>
      <c r="BN23" s="16">
        <f>BM23*12</f>
        <v>-476</v>
      </c>
      <c r="BO23" s="17">
        <f>IFERROR(BM23/BM$24,0)</f>
        <v>-0.27137970353477764</v>
      </c>
    </row>
    <row r="24" spans="2:67">
      <c r="B24" s="10" t="s">
        <v>64</v>
      </c>
      <c r="C24" s="11">
        <f>DATE(YEAR(C23),MONTH(C23),1)</f>
        <v>45292</v>
      </c>
      <c r="E24" s="31" t="s">
        <v>65</v>
      </c>
      <c r="F24" s="32"/>
      <c r="G24" s="17">
        <f>IFERROR(G21/$G21,0)</f>
        <v>1</v>
      </c>
      <c r="H24" s="17">
        <f>IFERROR(H21/$G21,0)</f>
        <v>0.74438632879430067</v>
      </c>
      <c r="I24" s="17">
        <f>IFERROR(I21/$G21,0)</f>
        <v>0.25561367120569933</v>
      </c>
      <c r="U24" s="31" t="s">
        <v>65</v>
      </c>
      <c r="V24" s="32"/>
      <c r="W24" s="17">
        <f>IFERROR(W21/$W21,0)</f>
        <v>1</v>
      </c>
      <c r="X24" s="17">
        <f>IFERROR(X21/$W21,0)</f>
        <v>0.66106194690265485</v>
      </c>
      <c r="Y24" s="17">
        <f>IFERROR(Y21/$W21,0)</f>
        <v>0.33893805309734515</v>
      </c>
      <c r="AE24" s="42" t="s">
        <v>66</v>
      </c>
      <c r="AF24" s="32"/>
      <c r="AG24" s="20">
        <f>SUM(AG20:AG23)</f>
        <v>1130</v>
      </c>
      <c r="AH24" s="20">
        <f>AG24*12</f>
        <v>13560</v>
      </c>
      <c r="AI24" s="22">
        <f>IFERROR(AG24/AG$24,0)</f>
        <v>1</v>
      </c>
      <c r="AK24" s="31" t="s">
        <v>65</v>
      </c>
      <c r="AL24" s="32"/>
      <c r="AM24" s="17">
        <f>IFERROR(AM21/$AM21,0)</f>
        <v>1</v>
      </c>
      <c r="AN24" s="17">
        <f>IFERROR(AN21/$AM21,0)</f>
        <v>0.87529137529137535</v>
      </c>
      <c r="AO24" s="17">
        <f>IFERROR(AO21/$AM21,0)</f>
        <v>0.1247086247086247</v>
      </c>
      <c r="AU24" s="42" t="s">
        <v>66</v>
      </c>
      <c r="AV24" s="32"/>
      <c r="AW24" s="20">
        <f>SUM(AW20:AW23)</f>
        <v>572</v>
      </c>
      <c r="AX24" s="20">
        <f>AW24*12</f>
        <v>6864</v>
      </c>
      <c r="AY24" s="22">
        <f>IFERROR(AW24/AW$24,0)</f>
        <v>1</v>
      </c>
      <c r="BA24" s="31" t="s">
        <v>65</v>
      </c>
      <c r="BB24" s="32"/>
      <c r="BC24" s="17">
        <f>IFERROR(BC21/$BC21,0)</f>
        <v>1</v>
      </c>
      <c r="BD24" s="17">
        <f>IFERROR(BD21/$BC21,0)</f>
        <v>0.87628278221208677</v>
      </c>
      <c r="BE24" s="17">
        <f>IFERROR(BE21/$BC21,0)</f>
        <v>0.12371721778791334</v>
      </c>
      <c r="BK24" s="42" t="s">
        <v>66</v>
      </c>
      <c r="BL24" s="32"/>
      <c r="BM24" s="20">
        <f>SUM(BM20:BM23)</f>
        <v>146.16666666666666</v>
      </c>
      <c r="BN24" s="20">
        <f>BM24*12</f>
        <v>1754</v>
      </c>
      <c r="BO24" s="22">
        <f>IFERROR(BM24/BM$24,0)</f>
        <v>1</v>
      </c>
    </row>
    <row r="26" spans="2:67">
      <c r="B26" s="54" t="s">
        <v>67</v>
      </c>
      <c r="C26" s="50"/>
    </row>
    <row r="27" spans="2:67">
      <c r="B27" s="50"/>
      <c r="C27" s="50"/>
    </row>
    <row r="28" spans="2:67">
      <c r="B28" s="50"/>
      <c r="C28" s="50"/>
    </row>
    <row r="29" spans="2:67">
      <c r="B29" s="50"/>
      <c r="C29" s="50"/>
    </row>
    <row r="30" spans="2:67">
      <c r="B30" s="54" t="s">
        <v>68</v>
      </c>
      <c r="C30" s="50"/>
    </row>
    <row r="31" spans="2:67">
      <c r="B31" s="50"/>
      <c r="C31" s="50"/>
    </row>
    <row r="32" spans="2:67">
      <c r="B32" s="50"/>
      <c r="C32" s="50"/>
    </row>
    <row r="33" spans="2:67">
      <c r="B33" s="54" t="s">
        <v>69</v>
      </c>
      <c r="C33" s="50"/>
    </row>
    <row r="34" spans="2:67">
      <c r="B34" s="50"/>
      <c r="C34" s="50"/>
    </row>
    <row r="35" spans="2:67">
      <c r="B35" s="54"/>
      <c r="C35" s="50"/>
    </row>
    <row r="36" spans="2:67">
      <c r="B36" s="50"/>
      <c r="C36" s="50"/>
    </row>
    <row r="37" spans="2:67">
      <c r="B37" s="50"/>
      <c r="C37" s="50"/>
    </row>
    <row r="43" spans="2:67">
      <c r="E43" s="45" t="s">
        <v>70</v>
      </c>
      <c r="F43" s="30"/>
      <c r="G43" s="30"/>
      <c r="H43" s="30"/>
      <c r="I43" s="30"/>
      <c r="J43" s="30"/>
      <c r="K43" s="30"/>
      <c r="L43" s="30"/>
      <c r="M43" s="30"/>
      <c r="O43" s="45" t="s">
        <v>71</v>
      </c>
      <c r="P43" s="30"/>
      <c r="Q43" s="30"/>
      <c r="R43" s="30"/>
      <c r="S43" s="30"/>
      <c r="U43" s="45" t="s">
        <v>70</v>
      </c>
      <c r="V43" s="30"/>
      <c r="W43" s="30"/>
      <c r="X43" s="30"/>
      <c r="Y43" s="30"/>
      <c r="Z43" s="30"/>
      <c r="AA43" s="30"/>
      <c r="AB43" s="30"/>
      <c r="AC43" s="30"/>
      <c r="AE43" s="45" t="s">
        <v>71</v>
      </c>
      <c r="AF43" s="30"/>
      <c r="AG43" s="30"/>
      <c r="AH43" s="30"/>
      <c r="AI43" s="30"/>
      <c r="AK43" s="45" t="s">
        <v>70</v>
      </c>
      <c r="AL43" s="30"/>
      <c r="AM43" s="30"/>
      <c r="AN43" s="30"/>
      <c r="AO43" s="30"/>
      <c r="AP43" s="30"/>
      <c r="AQ43" s="30"/>
      <c r="AR43" s="30"/>
      <c r="AS43" s="30"/>
      <c r="AU43" s="45" t="s">
        <v>71</v>
      </c>
      <c r="AV43" s="30"/>
      <c r="AW43" s="30"/>
      <c r="AX43" s="30"/>
      <c r="AY43" s="30"/>
      <c r="BA43" s="45" t="s">
        <v>70</v>
      </c>
      <c r="BB43" s="30"/>
      <c r="BC43" s="30"/>
      <c r="BD43" s="30"/>
      <c r="BE43" s="30"/>
      <c r="BF43" s="30"/>
      <c r="BG43" s="30"/>
      <c r="BH43" s="30"/>
      <c r="BI43" s="30"/>
      <c r="BK43" s="45" t="s">
        <v>71</v>
      </c>
      <c r="BL43" s="30"/>
      <c r="BM43" s="30"/>
      <c r="BN43" s="30"/>
      <c r="BO43" s="30"/>
    </row>
    <row r="44" spans="2:67">
      <c r="E44" s="13" t="s">
        <v>72</v>
      </c>
      <c r="F44" s="13" t="s">
        <v>73</v>
      </c>
      <c r="G44" s="13" t="s">
        <v>12</v>
      </c>
      <c r="H44" s="13" t="s">
        <v>42</v>
      </c>
      <c r="I44" s="13" t="s">
        <v>43</v>
      </c>
      <c r="J44" s="13" t="s">
        <v>13</v>
      </c>
      <c r="K44" s="13" t="s">
        <v>45</v>
      </c>
      <c r="L44" s="13" t="s">
        <v>74</v>
      </c>
      <c r="M44" s="13" t="s">
        <v>75</v>
      </c>
      <c r="O44" s="13" t="s">
        <v>76</v>
      </c>
      <c r="P44" s="13" t="s">
        <v>12</v>
      </c>
      <c r="Q44" s="13" t="s">
        <v>13</v>
      </c>
      <c r="R44" s="13" t="s">
        <v>45</v>
      </c>
      <c r="S44" s="13" t="s">
        <v>74</v>
      </c>
      <c r="U44" s="13" t="s">
        <v>72</v>
      </c>
      <c r="V44" s="13" t="s">
        <v>73</v>
      </c>
      <c r="W44" s="13" t="s">
        <v>12</v>
      </c>
      <c r="X44" s="13" t="s">
        <v>42</v>
      </c>
      <c r="Y44" s="13" t="s">
        <v>43</v>
      </c>
      <c r="Z44" s="13" t="s">
        <v>13</v>
      </c>
      <c r="AA44" s="13" t="s">
        <v>45</v>
      </c>
      <c r="AB44" s="13" t="s">
        <v>74</v>
      </c>
      <c r="AC44" s="13" t="s">
        <v>75</v>
      </c>
      <c r="AE44" s="13" t="s">
        <v>76</v>
      </c>
      <c r="AF44" s="13" t="s">
        <v>12</v>
      </c>
      <c r="AG44" s="13" t="s">
        <v>13</v>
      </c>
      <c r="AH44" s="13" t="s">
        <v>45</v>
      </c>
      <c r="AI44" s="13" t="s">
        <v>74</v>
      </c>
      <c r="AK44" s="13" t="s">
        <v>72</v>
      </c>
      <c r="AL44" s="13" t="s">
        <v>73</v>
      </c>
      <c r="AM44" s="13" t="s">
        <v>12</v>
      </c>
      <c r="AN44" s="13" t="s">
        <v>42</v>
      </c>
      <c r="AO44" s="13" t="s">
        <v>43</v>
      </c>
      <c r="AP44" s="13" t="s">
        <v>13</v>
      </c>
      <c r="AQ44" s="13" t="s">
        <v>45</v>
      </c>
      <c r="AR44" s="13" t="s">
        <v>74</v>
      </c>
      <c r="AS44" s="13" t="s">
        <v>75</v>
      </c>
      <c r="AU44" s="13" t="s">
        <v>76</v>
      </c>
      <c r="AV44" s="13" t="s">
        <v>12</v>
      </c>
      <c r="AW44" s="13" t="s">
        <v>13</v>
      </c>
      <c r="AX44" s="13" t="s">
        <v>45</v>
      </c>
      <c r="AY44" s="13" t="s">
        <v>74</v>
      </c>
      <c r="BA44" s="13" t="s">
        <v>72</v>
      </c>
      <c r="BB44" s="13" t="s">
        <v>73</v>
      </c>
      <c r="BC44" s="13" t="s">
        <v>12</v>
      </c>
      <c r="BD44" s="13" t="s">
        <v>42</v>
      </c>
      <c r="BE44" s="13" t="s">
        <v>43</v>
      </c>
      <c r="BF44" s="13" t="s">
        <v>13</v>
      </c>
      <c r="BG44" s="13" t="s">
        <v>45</v>
      </c>
      <c r="BH44" s="13" t="s">
        <v>74</v>
      </c>
      <c r="BI44" s="13" t="s">
        <v>75</v>
      </c>
      <c r="BK44" s="13" t="s">
        <v>76</v>
      </c>
      <c r="BL44" s="13" t="s">
        <v>12</v>
      </c>
      <c r="BM44" s="13" t="s">
        <v>13</v>
      </c>
      <c r="BN44" s="13" t="s">
        <v>45</v>
      </c>
      <c r="BO44" s="13" t="s">
        <v>74</v>
      </c>
    </row>
    <row r="45" spans="2:67">
      <c r="E45" s="23">
        <f>p_Month1</f>
        <v>45292</v>
      </c>
      <c r="F45" s="24">
        <f>MIN(EOMONTH(E45,0),ref_Date)</f>
        <v>45322</v>
      </c>
      <c r="G45" s="16">
        <f>(SUMIFS(b_Total,b_Tipo,"Monthly",b_Renov,"Yes",b_Inicio,"&lt;="&amp;$F45,b_Plano,"*")+SUMIFS(b_Total,b_Tipo,"Monthly",b_Renov,"No",b_Inicio,"&lt;="&amp;$F45,b_Inicio,"&gt;"&amp;EDATE($F45,-m_Monthly),b_Plano,"*"))/m_Monthly+(SUMIFS(b_Total,b_Tipo,"Quarterly",b_Renov,"Yes",b_Inicio,"&lt;="&amp;$F45,b_Plano,"*")+SUMIFS(b_Total,b_Tipo,"Quarterly",b_Renov,"No",b_Inicio,"&lt;="&amp;$F45,b_Inicio,"&gt;"&amp;EDATE($F45,-m_Quarterly),b_Plano,"*"))/m_Quarterly+(SUMIFS(b_Total,b_Tipo,"Annual",b_Renov,"Yes",b_Inicio,"&lt;="&amp;$F45,b_Plano,"*")+SUMIFS(b_Total,b_Tipo,"Annual",b_Renov,"No",b_Inicio,"&lt;="&amp;$F45,b_Inicio,"&gt;"&amp;EDATE($F45,-m_Annual),b_Plano,"*"))/m_Annual</f>
        <v>60.416666666666664</v>
      </c>
      <c r="H45" s="16">
        <f>(SUMIFS(b_Total,b_Tipo,"Monthly",b_Renov,"Yes",b_Inicio,"&lt;="&amp;$F45,b_Plano,"*"))/m_Monthly+(SUMIFS(b_Total,b_Tipo,"Quarterly",b_Renov,"Yes",b_Inicio,"&lt;="&amp;$F45,b_Plano,"*"))/m_Quarterly+(SUMIFS(b_Total,b_Tipo,"Annual",b_Renov,"Yes",b_Inicio,"&lt;="&amp;$F45,b_Plano,"*"))/m_Annual</f>
        <v>60</v>
      </c>
      <c r="I45" s="16">
        <f>(SUMIFS(b_Total,b_Tipo,"Monthly",b_Renov,"No",b_Inicio,"&lt;="&amp;$F45,b_Inicio,"&gt;"&amp;EDATE($F45,-m_Monthly),b_Plano,"*"))/m_Monthly+(SUMIFS(b_Total,b_Tipo,"Quarterly",b_Renov,"No",b_Inicio,"&lt;="&amp;$F45,b_Inicio,"&gt;"&amp;EDATE($F45,-m_Quarterly),b_Plano,"*"))/m_Quarterly+(SUMIFS(b_Total,b_Tipo,"Annual",b_Renov,"No",b_Inicio,"&lt;="&amp;$F45,b_Inicio,"&gt;"&amp;EDATE($F45,-m_Annual),b_Plano,"*"))/m_Annual</f>
        <v>0.41666666666666669</v>
      </c>
      <c r="J45" s="16">
        <f>G45*12</f>
        <v>725</v>
      </c>
      <c r="K45" s="14">
        <f>(COUNTIFS(b_Tipo,"Monthly",b_Renov,"Yes",b_Inicio,"&lt;="&amp;$F45,b_Plano,"*")+COUNTIFS(b_Tipo,"Monthly",b_Renov,"No",b_Inicio,"&lt;="&amp;$F45,b_Inicio,"&gt;"&amp;EDATE($F45,-m_Monthly),b_Plano,"*"))+(COUNTIFS(b_Tipo,"Quarterly",b_Renov,"Yes",b_Inicio,"&lt;="&amp;$F45,b_Plano,"*")+COUNTIFS(b_Tipo,"Quarterly",b_Renov,"No",b_Inicio,"&lt;="&amp;$F45,b_Inicio,"&gt;"&amp;EDATE($F45,-m_Quarterly),b_Plano,"*"))+(COUNTIFS(b_Tipo,"Annual",b_Renov,"Yes",b_Inicio,"&lt;="&amp;$F45,b_Plano,"*")+COUNTIFS(b_Tipo,"Annual",b_Renov,"No",b_Inicio,"&lt;="&amp;$F45,b_Inicio,"&gt;"&amp;EDATE($F45,-m_Annual),b_Plano,"*"))</f>
        <v>2</v>
      </c>
      <c r="L45" s="14">
        <f>COUNTIFS(b_Inicio,"&gt;="&amp;E45,b_Inicio,"&lt;="&amp;$F45,b_Tipo,"*")</f>
        <v>2</v>
      </c>
      <c r="M45" s="25" t="s">
        <v>77</v>
      </c>
      <c r="O45" s="26" t="str">
        <f>"T1/"&amp;YEAR(E47)</f>
        <v>T1/2024</v>
      </c>
      <c r="P45" s="16">
        <f>G47</f>
        <v>590.91666666666663</v>
      </c>
      <c r="Q45" s="16">
        <f>J47</f>
        <v>7091</v>
      </c>
      <c r="R45" s="14">
        <f>K47</f>
        <v>34</v>
      </c>
      <c r="S45" s="14">
        <f>SUM(L45:L47)</f>
        <v>35</v>
      </c>
      <c r="U45" s="23">
        <f>p_Month1</f>
        <v>45292</v>
      </c>
      <c r="V45" s="24">
        <f>MIN(EOMONTH(U45,0),ref_Date)</f>
        <v>45322</v>
      </c>
      <c r="W45" s="16">
        <f>(SUMIFS(b_Total,b_Tipo,"Monthly",b_Renov,"Yes",b_Inicio,"&lt;="&amp;$V45,b_Plano,"*")+SUMIFS(b_Total,b_Tipo,"Monthly",b_Renov,"No",b_Inicio,"&lt;="&amp;$V45,b_Inicio,"&gt;"&amp;EDATE($V45,-m_Monthly),b_Plano,"*"))/m_Monthly</f>
        <v>60</v>
      </c>
      <c r="X45" s="16">
        <f>(SUMIFS(b_Total,b_Tipo,"Monthly",b_Renov,"Yes",b_Inicio,"&lt;="&amp;$V45,b_Plano,"*"))/m_Monthly</f>
        <v>60</v>
      </c>
      <c r="Y45" s="16">
        <f>(SUMIFS(b_Total,b_Tipo,"Monthly",b_Renov,"No",b_Inicio,"&lt;="&amp;$V45,b_Inicio,"&gt;"&amp;EDATE($V45,-m_Monthly),b_Plano,"*"))/m_Monthly</f>
        <v>0</v>
      </c>
      <c r="Z45" s="16">
        <f>W45*12</f>
        <v>720</v>
      </c>
      <c r="AA45" s="14">
        <f>(COUNTIFS(b_Tipo,"Monthly",b_Renov,"Yes",b_Inicio,"&lt;="&amp;$V45,b_Plano,"*")+COUNTIFS(b_Tipo,"Monthly",b_Renov,"No",b_Inicio,"&lt;="&amp;$V45,b_Inicio,"&gt;"&amp;EDATE($V45,-m_Monthly),b_Plano,"*"))</f>
        <v>1</v>
      </c>
      <c r="AB45" s="14">
        <f>COUNTIFS(b_Inicio,"&gt;="&amp;U45,b_Inicio,"&lt;="&amp;$V45,b_Tipo,"Monthly")</f>
        <v>1</v>
      </c>
      <c r="AC45" s="25" t="s">
        <v>77</v>
      </c>
      <c r="AE45" s="26" t="str">
        <f>"T1/"&amp;YEAR(U47)</f>
        <v>T1/2024</v>
      </c>
      <c r="AF45" s="16">
        <f>W47</f>
        <v>497</v>
      </c>
      <c r="AG45" s="16">
        <f>Z47</f>
        <v>5964</v>
      </c>
      <c r="AH45" s="14">
        <f>AA47</f>
        <v>17</v>
      </c>
      <c r="AI45" s="14">
        <f>SUM(AB45:AB47)</f>
        <v>18</v>
      </c>
      <c r="AK45" s="23">
        <f>p_Month1</f>
        <v>45292</v>
      </c>
      <c r="AL45" s="24">
        <f>MIN(EOMONTH(AK45,0),ref_Date)</f>
        <v>45322</v>
      </c>
      <c r="AM45" s="16">
        <f>(SUMIFS(b_Total,b_Tipo,"Quarterly",b_Renov,"Yes",b_Inicio,"&lt;="&amp;$AL45,b_Plano,"*")+SUMIFS(b_Total,b_Tipo,"Quarterly",b_Renov,"No",b_Inicio,"&lt;="&amp;$AL45,b_Inicio,"&gt;"&amp;EDATE($AL45,-m_Quarterly),b_Plano,"*"))/m_Quarterly</f>
        <v>0</v>
      </c>
      <c r="AN45" s="16">
        <f>(SUMIFS(b_Total,b_Tipo,"Quarterly",b_Renov,"Yes",b_Inicio,"&lt;="&amp;$AL45,b_Plano,"*"))/m_Quarterly</f>
        <v>0</v>
      </c>
      <c r="AO45" s="16">
        <f>(SUMIFS(b_Total,b_Tipo,"Quarterly",b_Renov,"No",b_Inicio,"&lt;="&amp;$AL45,b_Inicio,"&gt;"&amp;EDATE($AL45,-m_Quarterly),b_Plano,"*"))/m_Quarterly</f>
        <v>0</v>
      </c>
      <c r="AP45" s="16">
        <f>AM45*12</f>
        <v>0</v>
      </c>
      <c r="AQ45" s="14">
        <f>(COUNTIFS(b_Tipo,"Quarterly",b_Renov,"Yes",b_Inicio,"&lt;="&amp;$AL45,b_Plano,"*")+COUNTIFS(b_Tipo,"Quarterly",b_Renov,"No",b_Inicio,"&lt;="&amp;$AL45,b_Inicio,"&gt;"&amp;EDATE($AL45,-m_Quarterly),b_Plano,"*"))</f>
        <v>0</v>
      </c>
      <c r="AR45" s="14">
        <f>COUNTIFS(b_Inicio,"&gt;="&amp;AK45,b_Inicio,"&lt;="&amp;$AL45,b_Tipo,"Quarterly")</f>
        <v>0</v>
      </c>
      <c r="AS45" s="25" t="s">
        <v>77</v>
      </c>
      <c r="AU45" s="26" t="str">
        <f>"T1/"&amp;YEAR(AK47)</f>
        <v>T1/2024</v>
      </c>
      <c r="AV45" s="16">
        <f>AM47</f>
        <v>82</v>
      </c>
      <c r="AW45" s="16">
        <f>AP47</f>
        <v>984</v>
      </c>
      <c r="AX45" s="14">
        <f>AQ47</f>
        <v>9</v>
      </c>
      <c r="AY45" s="14">
        <f>SUM(AR45:AR47)</f>
        <v>9</v>
      </c>
      <c r="BA45" s="23">
        <f>p_Month1</f>
        <v>45292</v>
      </c>
      <c r="BB45" s="24">
        <f>MIN(EOMONTH(BA45,0),ref_Date)</f>
        <v>45322</v>
      </c>
      <c r="BC45" s="16">
        <f>(SUMIFS(b_Total,b_Tipo,"Annual",b_Renov,"Yes",b_Inicio,"&lt;="&amp;$BB45,b_Plano,"*")+SUMIFS(b_Total,b_Tipo,"Annual",b_Renov,"No",b_Inicio,"&lt;="&amp;$BB45,b_Inicio,"&gt;"&amp;EDATE($BB45,-m_Annual),b_Plano,"*"))/m_Annual</f>
        <v>0.41666666666666669</v>
      </c>
      <c r="BD45" s="16">
        <f>(SUMIFS(b_Total,b_Tipo,"Annual",b_Renov,"Yes",b_Inicio,"&lt;="&amp;$BB45,b_Plano,"*"))/m_Annual</f>
        <v>0</v>
      </c>
      <c r="BE45" s="16">
        <f>(SUMIFS(b_Total,b_Tipo,"Annual",b_Renov,"No",b_Inicio,"&lt;="&amp;$BB45,b_Inicio,"&gt;"&amp;EDATE($BB45,-m_Annual),b_Plano,"*"))/m_Annual</f>
        <v>0.41666666666666669</v>
      </c>
      <c r="BF45" s="16">
        <f>BC45*12</f>
        <v>5</v>
      </c>
      <c r="BG45" s="14">
        <f>(COUNTIFS(b_Tipo,"Annual",b_Renov,"Yes",b_Inicio,"&lt;="&amp;$BB45,b_Plano,"*")+COUNTIFS(b_Tipo,"Annual",b_Renov,"No",b_Inicio,"&lt;="&amp;$BB45,b_Inicio,"&gt;"&amp;EDATE($BB45,-m_Annual),b_Plano,"*"))</f>
        <v>1</v>
      </c>
      <c r="BH45" s="14">
        <f>COUNTIFS(b_Inicio,"&gt;="&amp;BA45,b_Inicio,"&lt;="&amp;$BB45,b_Tipo,"Annual")</f>
        <v>1</v>
      </c>
      <c r="BI45" s="25" t="s">
        <v>77</v>
      </c>
      <c r="BK45" s="26" t="str">
        <f>"T1/"&amp;YEAR(BA47)</f>
        <v>T1/2024</v>
      </c>
      <c r="BL45" s="16">
        <f>BC47</f>
        <v>11.916666666666666</v>
      </c>
      <c r="BM45" s="16">
        <f>BF47</f>
        <v>143</v>
      </c>
      <c r="BN45" s="14">
        <f>BG47</f>
        <v>8</v>
      </c>
      <c r="BO45" s="14">
        <f>SUM(BH45:BH47)</f>
        <v>8</v>
      </c>
    </row>
    <row r="46" spans="2:67">
      <c r="E46" s="23">
        <f>EDATE(E45,1)</f>
        <v>45323</v>
      </c>
      <c r="F46" s="24">
        <f>MIN(EOMONTH(E46,0),ref_Date)</f>
        <v>45351</v>
      </c>
      <c r="G46" s="16">
        <f>(SUMIFS(b_Total,b_Tipo,"Monthly",b_Renov,"Yes",b_Inicio,"&lt;="&amp;$F46,b_Plano,"*")+SUMIFS(b_Total,b_Tipo,"Monthly",b_Renov,"No",b_Inicio,"&lt;="&amp;$F46,b_Inicio,"&gt;"&amp;EDATE($F46,-m_Monthly),b_Plano,"*"))/m_Monthly+(SUMIFS(b_Total,b_Tipo,"Quarterly",b_Renov,"Yes",b_Inicio,"&lt;="&amp;$F46,b_Plano,"*")+SUMIFS(b_Total,b_Tipo,"Quarterly",b_Renov,"No",b_Inicio,"&lt;="&amp;$F46,b_Inicio,"&gt;"&amp;EDATE($F46,-m_Quarterly),b_Plano,"*"))/m_Quarterly+(SUMIFS(b_Total,b_Tipo,"Annual",b_Renov,"Yes",b_Inicio,"&lt;="&amp;$F46,b_Plano,"*")+SUMIFS(b_Total,b_Tipo,"Annual",b_Renov,"No",b_Inicio,"&lt;="&amp;$F46,b_Inicio,"&gt;"&amp;EDATE($F46,-m_Annual),b_Plano,"*"))/m_Annual</f>
        <v>129.08333333333331</v>
      </c>
      <c r="H46" s="16">
        <f>(SUMIFS(b_Total,b_Tipo,"Monthly",b_Renov,"Yes",b_Inicio,"&lt;="&amp;$F46,b_Plano,"*"))/m_Monthly+(SUMIFS(b_Total,b_Tipo,"Quarterly",b_Renov,"Yes",b_Inicio,"&lt;="&amp;$F46,b_Plano,"*"))/m_Quarterly+(SUMIFS(b_Total,b_Tipo,"Annual",b_Renov,"Yes",b_Inicio,"&lt;="&amp;$F46,b_Plano,"*"))/m_Annual</f>
        <v>66.666666666666671</v>
      </c>
      <c r="I46" s="16">
        <f>(SUMIFS(b_Total,b_Tipo,"Monthly",b_Renov,"No",b_Inicio,"&lt;="&amp;$F46,b_Inicio,"&gt;"&amp;EDATE($F46,-m_Monthly),b_Plano,"*"))/m_Monthly+(SUMIFS(b_Total,b_Tipo,"Quarterly",b_Renov,"No",b_Inicio,"&lt;="&amp;$F46,b_Inicio,"&gt;"&amp;EDATE($F46,-m_Quarterly),b_Plano,"*"))/m_Quarterly+(SUMIFS(b_Total,b_Tipo,"Annual",b_Renov,"No",b_Inicio,"&lt;="&amp;$F46,b_Inicio,"&gt;"&amp;EDATE($F46,-m_Annual),b_Plano,"*"))/m_Annual</f>
        <v>62.416666666666664</v>
      </c>
      <c r="J46" s="16">
        <f>G46*12</f>
        <v>1548.9999999999998</v>
      </c>
      <c r="K46" s="14">
        <f>(COUNTIFS(b_Tipo,"Monthly",b_Renov,"Yes",b_Inicio,"&lt;="&amp;$F46,b_Plano,"*")+COUNTIFS(b_Tipo,"Monthly",b_Renov,"No",b_Inicio,"&lt;="&amp;$F46,b_Inicio,"&gt;"&amp;EDATE($F46,-m_Monthly),b_Plano,"*"))+(COUNTIFS(b_Tipo,"Quarterly",b_Renov,"Yes",b_Inicio,"&lt;="&amp;$F46,b_Plano,"*")+COUNTIFS(b_Tipo,"Quarterly",b_Renov,"No",b_Inicio,"&lt;="&amp;$F46,b_Inicio,"&gt;"&amp;EDATE($F46,-m_Quarterly),b_Plano,"*"))+(COUNTIFS(b_Tipo,"Annual",b_Renov,"Yes",b_Inicio,"&lt;="&amp;$F46,b_Plano,"*")+COUNTIFS(b_Tipo,"Annual",b_Renov,"No",b_Inicio,"&lt;="&amp;$F46,b_Inicio,"&gt;"&amp;EDATE($F46,-m_Annual),b_Plano,"*"))</f>
        <v>4</v>
      </c>
      <c r="L46" s="14">
        <f>COUNTIFS(b_Inicio,"&gt;="&amp;E46,b_Inicio,"&lt;="&amp;$F46,b_Tipo,"*")</f>
        <v>2</v>
      </c>
      <c r="M46" s="27">
        <f>IFERROR(G46/G45-1,0)</f>
        <v>1.1365517241379308</v>
      </c>
      <c r="O46" s="26" t="str">
        <f>"T2/"&amp;YEAR(E50)</f>
        <v>T2/2024</v>
      </c>
      <c r="P46" s="16">
        <f>G50</f>
        <v>1155.1666666666667</v>
      </c>
      <c r="Q46" s="16">
        <f>J50</f>
        <v>13862</v>
      </c>
      <c r="R46" s="14">
        <f>K50</f>
        <v>96</v>
      </c>
      <c r="S46" s="14">
        <f>SUM(L48:L50)</f>
        <v>91</v>
      </c>
      <c r="U46" s="23">
        <f>EDATE(U45,1)</f>
        <v>45323</v>
      </c>
      <c r="V46" s="24">
        <f>MIN(EOMONTH(U46,0),ref_Date)</f>
        <v>45351</v>
      </c>
      <c r="W46" s="16">
        <f>(SUMIFS(b_Total,b_Tipo,"Monthly",b_Renov,"Yes",b_Inicio,"&lt;="&amp;$V46,b_Plano,"*")+SUMIFS(b_Total,b_Tipo,"Monthly",b_Renov,"No",b_Inicio,"&lt;="&amp;$V46,b_Inicio,"&gt;"&amp;EDATE($V46,-m_Monthly),b_Plano,"*"))/m_Monthly</f>
        <v>122</v>
      </c>
      <c r="X46" s="16">
        <f>(SUMIFS(b_Total,b_Tipo,"Monthly",b_Renov,"Yes",b_Inicio,"&lt;="&amp;$V46,b_Plano,"*"))/m_Monthly</f>
        <v>60</v>
      </c>
      <c r="Y46" s="16">
        <f>(SUMIFS(b_Total,b_Tipo,"Monthly",b_Renov,"No",b_Inicio,"&lt;="&amp;$V46,b_Inicio,"&gt;"&amp;EDATE($V46,-m_Monthly),b_Plano,"*"))/m_Monthly</f>
        <v>62</v>
      </c>
      <c r="Z46" s="16">
        <f>W46*12</f>
        <v>1464</v>
      </c>
      <c r="AA46" s="14">
        <f>(COUNTIFS(b_Tipo,"Monthly",b_Renov,"Yes",b_Inicio,"&lt;="&amp;$V46,b_Plano,"*")+COUNTIFS(b_Tipo,"Monthly",b_Renov,"No",b_Inicio,"&lt;="&amp;$V46,b_Inicio,"&gt;"&amp;EDATE($V46,-m_Monthly),b_Plano,"*"))</f>
        <v>2</v>
      </c>
      <c r="AB46" s="14">
        <f>COUNTIFS(b_Inicio,"&gt;="&amp;U46,b_Inicio,"&lt;="&amp;$V46,b_Tipo,"Monthly")</f>
        <v>1</v>
      </c>
      <c r="AC46" s="27">
        <f>IFERROR(W46/W45-1,0)</f>
        <v>1.0333333333333332</v>
      </c>
      <c r="AE46" s="26" t="str">
        <f>"T2/"&amp;YEAR(U50)</f>
        <v>T2/2024</v>
      </c>
      <c r="AF46" s="16">
        <f>W50</f>
        <v>756</v>
      </c>
      <c r="AG46" s="16">
        <f>Z50</f>
        <v>9072</v>
      </c>
      <c r="AH46" s="14">
        <f>AA50</f>
        <v>28</v>
      </c>
      <c r="AI46" s="14">
        <f>SUM(AB48:AB50)</f>
        <v>40</v>
      </c>
      <c r="AK46" s="23">
        <f>EDATE(AK45,1)</f>
        <v>45323</v>
      </c>
      <c r="AL46" s="24">
        <f>MIN(EOMONTH(AK46,0),ref_Date)</f>
        <v>45351</v>
      </c>
      <c r="AM46" s="16">
        <f>(SUMIFS(b_Total,b_Tipo,"Quarterly",b_Renov,"Yes",b_Inicio,"&lt;="&amp;$AL46,b_Plano,"*")+SUMIFS(b_Total,b_Tipo,"Quarterly",b_Renov,"No",b_Inicio,"&lt;="&amp;$AL46,b_Inicio,"&gt;"&amp;EDATE($AL46,-m_Quarterly),b_Plano,"*"))/m_Quarterly</f>
        <v>6.666666666666667</v>
      </c>
      <c r="AN46" s="16">
        <f>(SUMIFS(b_Total,b_Tipo,"Quarterly",b_Renov,"Yes",b_Inicio,"&lt;="&amp;$AL46,b_Plano,"*"))/m_Quarterly</f>
        <v>6.666666666666667</v>
      </c>
      <c r="AO46" s="16">
        <f>(SUMIFS(b_Total,b_Tipo,"Quarterly",b_Renov,"No",b_Inicio,"&lt;="&amp;$AL46,b_Inicio,"&gt;"&amp;EDATE($AL46,-m_Quarterly),b_Plano,"*"))/m_Quarterly</f>
        <v>0</v>
      </c>
      <c r="AP46" s="16">
        <f>AM46*12</f>
        <v>80</v>
      </c>
      <c r="AQ46" s="14">
        <f>(COUNTIFS(b_Tipo,"Quarterly",b_Renov,"Yes",b_Inicio,"&lt;="&amp;$AL46,b_Plano,"*")+COUNTIFS(b_Tipo,"Quarterly",b_Renov,"No",b_Inicio,"&lt;="&amp;$AL46,b_Inicio,"&gt;"&amp;EDATE($AL46,-m_Quarterly),b_Plano,"*"))</f>
        <v>1</v>
      </c>
      <c r="AR46" s="14">
        <f>COUNTIFS(b_Inicio,"&gt;="&amp;AK46,b_Inicio,"&lt;="&amp;$AL46,b_Tipo,"Quarterly")</f>
        <v>1</v>
      </c>
      <c r="AS46" s="27">
        <f>IFERROR(AM46/AM45-1,0)</f>
        <v>0</v>
      </c>
      <c r="AU46" s="26" t="str">
        <f>"T2/"&amp;YEAR(AK50)</f>
        <v>T2/2024</v>
      </c>
      <c r="AV46" s="16">
        <f>AM50</f>
        <v>345.66666666666669</v>
      </c>
      <c r="AW46" s="16">
        <f>AP50</f>
        <v>4148</v>
      </c>
      <c r="AX46" s="14">
        <f>AQ50</f>
        <v>38</v>
      </c>
      <c r="AY46" s="14">
        <f>SUM(AR48:AR50)</f>
        <v>29</v>
      </c>
      <c r="BA46" s="23">
        <f>EDATE(BA45,1)</f>
        <v>45323</v>
      </c>
      <c r="BB46" s="24">
        <f>MIN(EOMONTH(BA46,0),ref_Date)</f>
        <v>45351</v>
      </c>
      <c r="BC46" s="16">
        <f>(SUMIFS(b_Total,b_Tipo,"Annual",b_Renov,"Yes",b_Inicio,"&lt;="&amp;$BB46,b_Plano,"*")+SUMIFS(b_Total,b_Tipo,"Annual",b_Renov,"No",b_Inicio,"&lt;="&amp;$BB46,b_Inicio,"&gt;"&amp;EDATE($BB46,-m_Annual),b_Plano,"*"))/m_Annual</f>
        <v>0.41666666666666669</v>
      </c>
      <c r="BD46" s="16">
        <f>(SUMIFS(b_Total,b_Tipo,"Annual",b_Renov,"Yes",b_Inicio,"&lt;="&amp;$BB46,b_Plano,"*"))/m_Annual</f>
        <v>0</v>
      </c>
      <c r="BE46" s="16">
        <f>(SUMIFS(b_Total,b_Tipo,"Annual",b_Renov,"No",b_Inicio,"&lt;="&amp;$BB46,b_Inicio,"&gt;"&amp;EDATE($BB46,-m_Annual),b_Plano,"*"))/m_Annual</f>
        <v>0.41666666666666669</v>
      </c>
      <c r="BF46" s="16">
        <f>BC46*12</f>
        <v>5</v>
      </c>
      <c r="BG46" s="14">
        <f>(COUNTIFS(b_Tipo,"Annual",b_Renov,"Yes",b_Inicio,"&lt;="&amp;$BB46,b_Plano,"*")+COUNTIFS(b_Tipo,"Annual",b_Renov,"No",b_Inicio,"&lt;="&amp;$BB46,b_Inicio,"&gt;"&amp;EDATE($BB46,-m_Annual),b_Plano,"*"))</f>
        <v>1</v>
      </c>
      <c r="BH46" s="14">
        <f>COUNTIFS(b_Inicio,"&gt;="&amp;BA46,b_Inicio,"&lt;="&amp;$BB46,b_Tipo,"Annual")</f>
        <v>0</v>
      </c>
      <c r="BI46" s="27">
        <f>IFERROR(BC46/BC45-1,0)</f>
        <v>0</v>
      </c>
      <c r="BK46" s="26" t="str">
        <f>"T2/"&amp;YEAR(BA50)</f>
        <v>T2/2024</v>
      </c>
      <c r="BL46" s="16">
        <f>BC50</f>
        <v>53.5</v>
      </c>
      <c r="BM46" s="16">
        <f>BF50</f>
        <v>642</v>
      </c>
      <c r="BN46" s="14">
        <f>BG50</f>
        <v>30</v>
      </c>
      <c r="BO46" s="14">
        <f>SUM(BH48:BH50)</f>
        <v>22</v>
      </c>
    </row>
    <row r="47" spans="2:67">
      <c r="E47" s="23">
        <f>EDATE(E46,1)</f>
        <v>45352</v>
      </c>
      <c r="F47" s="24">
        <f>MIN(EOMONTH(E47,0),ref_Date)</f>
        <v>45382</v>
      </c>
      <c r="G47" s="16">
        <f>(SUMIFS(b_Total,b_Tipo,"Monthly",b_Renov,"Yes",b_Inicio,"&lt;="&amp;$F47,b_Plano,"*")+SUMIFS(b_Total,b_Tipo,"Monthly",b_Renov,"No",b_Inicio,"&lt;="&amp;$F47,b_Inicio,"&gt;"&amp;EDATE($F47,-m_Monthly),b_Plano,"*"))/m_Monthly+(SUMIFS(b_Total,b_Tipo,"Quarterly",b_Renov,"Yes",b_Inicio,"&lt;="&amp;$F47,b_Plano,"*")+SUMIFS(b_Total,b_Tipo,"Quarterly",b_Renov,"No",b_Inicio,"&lt;="&amp;$F47,b_Inicio,"&gt;"&amp;EDATE($F47,-m_Quarterly),b_Plano,"*"))/m_Quarterly+(SUMIFS(b_Total,b_Tipo,"Annual",b_Renov,"Yes",b_Inicio,"&lt;="&amp;$F47,b_Plano,"*")+SUMIFS(b_Total,b_Tipo,"Annual",b_Renov,"No",b_Inicio,"&lt;="&amp;$F47,b_Inicio,"&gt;"&amp;EDATE($F47,-m_Annual),b_Plano,"*"))/m_Annual</f>
        <v>590.91666666666663</v>
      </c>
      <c r="H47" s="16">
        <f>(SUMIFS(b_Total,b_Tipo,"Monthly",b_Renov,"Yes",b_Inicio,"&lt;="&amp;$F47,b_Plano,"*"))/m_Monthly+(SUMIFS(b_Total,b_Tipo,"Quarterly",b_Renov,"Yes",b_Inicio,"&lt;="&amp;$F47,b_Plano,"*"))/m_Quarterly+(SUMIFS(b_Total,b_Tipo,"Annual",b_Renov,"Yes",b_Inicio,"&lt;="&amp;$F47,b_Plano,"*"))/m_Annual</f>
        <v>157.5</v>
      </c>
      <c r="I47" s="16">
        <f>(SUMIFS(b_Total,b_Tipo,"Monthly",b_Renov,"No",b_Inicio,"&lt;="&amp;$F47,b_Inicio,"&gt;"&amp;EDATE($F47,-m_Monthly),b_Plano,"*"))/m_Monthly+(SUMIFS(b_Total,b_Tipo,"Quarterly",b_Renov,"No",b_Inicio,"&lt;="&amp;$F47,b_Inicio,"&gt;"&amp;EDATE($F47,-m_Quarterly),b_Plano,"*"))/m_Quarterly+(SUMIFS(b_Total,b_Tipo,"Annual",b_Renov,"No",b_Inicio,"&lt;="&amp;$F47,b_Inicio,"&gt;"&amp;EDATE($F47,-m_Annual),b_Plano,"*"))/m_Annual</f>
        <v>433.41666666666669</v>
      </c>
      <c r="J47" s="16">
        <f>G47*12</f>
        <v>7091</v>
      </c>
      <c r="K47" s="14">
        <f>(COUNTIFS(b_Tipo,"Monthly",b_Renov,"Yes",b_Inicio,"&lt;="&amp;$F47,b_Plano,"*")+COUNTIFS(b_Tipo,"Monthly",b_Renov,"No",b_Inicio,"&lt;="&amp;$F47,b_Inicio,"&gt;"&amp;EDATE($F47,-m_Monthly),b_Plano,"*"))+(COUNTIFS(b_Tipo,"Quarterly",b_Renov,"Yes",b_Inicio,"&lt;="&amp;$F47,b_Plano,"*")+COUNTIFS(b_Tipo,"Quarterly",b_Renov,"No",b_Inicio,"&lt;="&amp;$F47,b_Inicio,"&gt;"&amp;EDATE($F47,-m_Quarterly),b_Plano,"*"))+(COUNTIFS(b_Tipo,"Annual",b_Renov,"Yes",b_Inicio,"&lt;="&amp;$F47,b_Plano,"*")+COUNTIFS(b_Tipo,"Annual",b_Renov,"No",b_Inicio,"&lt;="&amp;$F47,b_Inicio,"&gt;"&amp;EDATE($F47,-m_Annual),b_Plano,"*"))</f>
        <v>34</v>
      </c>
      <c r="L47" s="14">
        <f>COUNTIFS(b_Inicio,"&gt;="&amp;E47,b_Inicio,"&lt;="&amp;$F47,b_Tipo,"*")</f>
        <v>31</v>
      </c>
      <c r="M47" s="27">
        <f>IFERROR(G47/G46-1,0)</f>
        <v>3.5777921239509363</v>
      </c>
      <c r="O47" s="26" t="str">
        <f>"T3/"&amp;YEAR(E53)</f>
        <v>T3/2024</v>
      </c>
      <c r="P47" s="16">
        <f>G53</f>
        <v>1541</v>
      </c>
      <c r="Q47" s="16">
        <f>J53</f>
        <v>18492</v>
      </c>
      <c r="R47" s="14">
        <f>K53</f>
        <v>142</v>
      </c>
      <c r="S47" s="14">
        <f>SUM(L51:L53)</f>
        <v>92</v>
      </c>
      <c r="U47" s="23">
        <f>EDATE(U46,1)</f>
        <v>45352</v>
      </c>
      <c r="V47" s="24">
        <f>MIN(EOMONTH(U47,0),ref_Date)</f>
        <v>45382</v>
      </c>
      <c r="W47" s="16">
        <f>(SUMIFS(b_Total,b_Tipo,"Monthly",b_Renov,"Yes",b_Inicio,"&lt;="&amp;$V47,b_Plano,"*")+SUMIFS(b_Total,b_Tipo,"Monthly",b_Renov,"No",b_Inicio,"&lt;="&amp;$V47,b_Inicio,"&gt;"&amp;EDATE($V47,-m_Monthly),b_Plano,"*"))/m_Monthly</f>
        <v>497</v>
      </c>
      <c r="X47" s="16">
        <f>(SUMIFS(b_Total,b_Tipo,"Monthly",b_Renov,"Yes",b_Inicio,"&lt;="&amp;$V47,b_Plano,"*"))/m_Monthly</f>
        <v>64</v>
      </c>
      <c r="Y47" s="16">
        <f>(SUMIFS(b_Total,b_Tipo,"Monthly",b_Renov,"No",b_Inicio,"&lt;="&amp;$V47,b_Inicio,"&gt;"&amp;EDATE($V47,-m_Monthly),b_Plano,"*"))/m_Monthly</f>
        <v>433</v>
      </c>
      <c r="Z47" s="16">
        <f>W47*12</f>
        <v>5964</v>
      </c>
      <c r="AA47" s="14">
        <f>(COUNTIFS(b_Tipo,"Monthly",b_Renov,"Yes",b_Inicio,"&lt;="&amp;$V47,b_Plano,"*")+COUNTIFS(b_Tipo,"Monthly",b_Renov,"No",b_Inicio,"&lt;="&amp;$V47,b_Inicio,"&gt;"&amp;EDATE($V47,-m_Monthly),b_Plano,"*"))</f>
        <v>17</v>
      </c>
      <c r="AB47" s="14">
        <f>COUNTIFS(b_Inicio,"&gt;="&amp;U47,b_Inicio,"&lt;="&amp;$V47,b_Tipo,"Monthly")</f>
        <v>16</v>
      </c>
      <c r="AC47" s="27">
        <f>IFERROR(W47/W46-1,0)</f>
        <v>3.0737704918032787</v>
      </c>
      <c r="AE47" s="26" t="str">
        <f>"T3/"&amp;YEAR(U53)</f>
        <v>T3/2024</v>
      </c>
      <c r="AF47" s="16">
        <f>W53</f>
        <v>969</v>
      </c>
      <c r="AG47" s="16">
        <f>Z53</f>
        <v>11628</v>
      </c>
      <c r="AH47" s="14">
        <f>AA53</f>
        <v>38</v>
      </c>
      <c r="AI47" s="14">
        <f>SUM(AB51:AB53)</f>
        <v>43</v>
      </c>
      <c r="AK47" s="23">
        <f>EDATE(AK46,1)</f>
        <v>45352</v>
      </c>
      <c r="AL47" s="24">
        <f>MIN(EOMONTH(AK47,0),ref_Date)</f>
        <v>45382</v>
      </c>
      <c r="AM47" s="16">
        <f>(SUMIFS(b_Total,b_Tipo,"Quarterly",b_Renov,"Yes",b_Inicio,"&lt;="&amp;$AL47,b_Plano,"*")+SUMIFS(b_Total,b_Tipo,"Quarterly",b_Renov,"No",b_Inicio,"&lt;="&amp;$AL47,b_Inicio,"&gt;"&amp;EDATE($AL47,-m_Quarterly),b_Plano,"*"))/m_Quarterly</f>
        <v>82</v>
      </c>
      <c r="AN47" s="16">
        <f>(SUMIFS(b_Total,b_Tipo,"Quarterly",b_Renov,"Yes",b_Inicio,"&lt;="&amp;$AL47,b_Plano,"*"))/m_Quarterly</f>
        <v>82</v>
      </c>
      <c r="AO47" s="16">
        <f>(SUMIFS(b_Total,b_Tipo,"Quarterly",b_Renov,"No",b_Inicio,"&lt;="&amp;$AL47,b_Inicio,"&gt;"&amp;EDATE($AL47,-m_Quarterly),b_Plano,"*"))/m_Quarterly</f>
        <v>0</v>
      </c>
      <c r="AP47" s="16">
        <f>AM47*12</f>
        <v>984</v>
      </c>
      <c r="AQ47" s="14">
        <f>(COUNTIFS(b_Tipo,"Quarterly",b_Renov,"Yes",b_Inicio,"&lt;="&amp;$AL47,b_Plano,"*")+COUNTIFS(b_Tipo,"Quarterly",b_Renov,"No",b_Inicio,"&lt;="&amp;$AL47,b_Inicio,"&gt;"&amp;EDATE($AL47,-m_Quarterly),b_Plano,"*"))</f>
        <v>9</v>
      </c>
      <c r="AR47" s="14">
        <f>COUNTIFS(b_Inicio,"&gt;="&amp;AK47,b_Inicio,"&lt;="&amp;$AL47,b_Tipo,"Quarterly")</f>
        <v>8</v>
      </c>
      <c r="AS47" s="27">
        <f>IFERROR(AM47/AM46-1,0)</f>
        <v>11.299999999999999</v>
      </c>
      <c r="AU47" s="26" t="str">
        <f>"T3/"&amp;YEAR(AK53)</f>
        <v>T3/2024</v>
      </c>
      <c r="AV47" s="16">
        <f>AM53</f>
        <v>468</v>
      </c>
      <c r="AW47" s="16">
        <f>AP53</f>
        <v>5616</v>
      </c>
      <c r="AX47" s="14">
        <f>AQ53</f>
        <v>52</v>
      </c>
      <c r="AY47" s="14">
        <f>SUM(AR51:AR53)</f>
        <v>27</v>
      </c>
      <c r="BA47" s="23">
        <f>EDATE(BA46,1)</f>
        <v>45352</v>
      </c>
      <c r="BB47" s="24">
        <f>MIN(EOMONTH(BA47,0),ref_Date)</f>
        <v>45382</v>
      </c>
      <c r="BC47" s="16">
        <f>(SUMIFS(b_Total,b_Tipo,"Annual",b_Renov,"Yes",b_Inicio,"&lt;="&amp;$BB47,b_Plano,"*")+SUMIFS(b_Total,b_Tipo,"Annual",b_Renov,"No",b_Inicio,"&lt;="&amp;$BB47,b_Inicio,"&gt;"&amp;EDATE($BB47,-m_Annual),b_Plano,"*"))/m_Annual</f>
        <v>11.916666666666666</v>
      </c>
      <c r="BD47" s="16">
        <f>(SUMIFS(b_Total,b_Tipo,"Annual",b_Renov,"Yes",b_Inicio,"&lt;="&amp;$BB47,b_Plano,"*"))/m_Annual</f>
        <v>11.5</v>
      </c>
      <c r="BE47" s="16">
        <f>(SUMIFS(b_Total,b_Tipo,"Annual",b_Renov,"No",b_Inicio,"&lt;="&amp;$BB47,b_Inicio,"&gt;"&amp;EDATE($BB47,-m_Annual),b_Plano,"*"))/m_Annual</f>
        <v>0.41666666666666669</v>
      </c>
      <c r="BF47" s="16">
        <f>BC47*12</f>
        <v>143</v>
      </c>
      <c r="BG47" s="14">
        <f>(COUNTIFS(b_Tipo,"Annual",b_Renov,"Yes",b_Inicio,"&lt;="&amp;$BB47,b_Plano,"*")+COUNTIFS(b_Tipo,"Annual",b_Renov,"No",b_Inicio,"&lt;="&amp;$BB47,b_Inicio,"&gt;"&amp;EDATE($BB47,-m_Annual),b_Plano,"*"))</f>
        <v>8</v>
      </c>
      <c r="BH47" s="14">
        <f>COUNTIFS(b_Inicio,"&gt;="&amp;BA47,b_Inicio,"&lt;="&amp;$BB47,b_Tipo,"Annual")</f>
        <v>7</v>
      </c>
      <c r="BI47" s="27">
        <f>IFERROR(BC47/BC46-1,0)</f>
        <v>27.599999999999998</v>
      </c>
      <c r="BK47" s="26" t="str">
        <f>"T3/"&amp;YEAR(BA53)</f>
        <v>T3/2024</v>
      </c>
      <c r="BL47" s="16">
        <f>BC53</f>
        <v>104</v>
      </c>
      <c r="BM47" s="16">
        <f>BF53</f>
        <v>1248</v>
      </c>
      <c r="BN47" s="14">
        <f>BG53</f>
        <v>52</v>
      </c>
      <c r="BO47" s="14">
        <f>SUM(BH51:BH53)</f>
        <v>22</v>
      </c>
    </row>
    <row r="48" spans="2:67">
      <c r="E48" s="23">
        <f>EDATE(E47,1)</f>
        <v>45383</v>
      </c>
      <c r="F48" s="24">
        <f>MIN(EOMONTH(E48,0),ref_Date)</f>
        <v>45412</v>
      </c>
      <c r="G48" s="16">
        <f>(SUMIFS(b_Total,b_Tipo,"Monthly",b_Renov,"Yes",b_Inicio,"&lt;="&amp;$F48,b_Plano,"*")+SUMIFS(b_Total,b_Tipo,"Monthly",b_Renov,"No",b_Inicio,"&lt;="&amp;$F48,b_Inicio,"&gt;"&amp;EDATE($F48,-m_Monthly),b_Plano,"*"))/m_Monthly+(SUMIFS(b_Total,b_Tipo,"Quarterly",b_Renov,"Yes",b_Inicio,"&lt;="&amp;$F48,b_Plano,"*")+SUMIFS(b_Total,b_Tipo,"Quarterly",b_Renov,"No",b_Inicio,"&lt;="&amp;$F48,b_Inicio,"&gt;"&amp;EDATE($F48,-m_Quarterly),b_Plano,"*"))/m_Quarterly+(SUMIFS(b_Total,b_Tipo,"Annual",b_Renov,"Yes",b_Inicio,"&lt;="&amp;$F48,b_Plano,"*")+SUMIFS(b_Total,b_Tipo,"Annual",b_Renov,"No",b_Inicio,"&lt;="&amp;$F48,b_Inicio,"&gt;"&amp;EDATE($F48,-m_Annual),b_Plano,"*"))/m_Annual</f>
        <v>608.41666666666674</v>
      </c>
      <c r="H48" s="16">
        <f>(SUMIFS(b_Total,b_Tipo,"Monthly",b_Renov,"Yes",b_Inicio,"&lt;="&amp;$F48,b_Plano,"*"))/m_Monthly+(SUMIFS(b_Total,b_Tipo,"Quarterly",b_Renov,"Yes",b_Inicio,"&lt;="&amp;$F48,b_Plano,"*"))/m_Quarterly+(SUMIFS(b_Total,b_Tipo,"Annual",b_Renov,"Yes",b_Inicio,"&lt;="&amp;$F48,b_Plano,"*"))/m_Annual</f>
        <v>276.33333333333331</v>
      </c>
      <c r="I48" s="16">
        <f>(SUMIFS(b_Total,b_Tipo,"Monthly",b_Renov,"No",b_Inicio,"&lt;="&amp;$F48,b_Inicio,"&gt;"&amp;EDATE($F48,-m_Monthly),b_Plano,"*"))/m_Monthly+(SUMIFS(b_Total,b_Tipo,"Quarterly",b_Renov,"No",b_Inicio,"&lt;="&amp;$F48,b_Inicio,"&gt;"&amp;EDATE($F48,-m_Quarterly),b_Plano,"*"))/m_Quarterly+(SUMIFS(b_Total,b_Tipo,"Annual",b_Renov,"No",b_Inicio,"&lt;="&amp;$F48,b_Inicio,"&gt;"&amp;EDATE($F48,-m_Annual),b_Plano,"*"))/m_Annual</f>
        <v>332.08333333333337</v>
      </c>
      <c r="J48" s="16">
        <f>G48*12</f>
        <v>7301.0000000000009</v>
      </c>
      <c r="K48" s="14">
        <f>(COUNTIFS(b_Tipo,"Monthly",b_Renov,"Yes",b_Inicio,"&lt;="&amp;$F48,b_Plano,"*")+COUNTIFS(b_Tipo,"Monthly",b_Renov,"No",b_Inicio,"&lt;="&amp;$F48,b_Inicio,"&gt;"&amp;EDATE($F48,-m_Monthly),b_Plano,"*"))+(COUNTIFS(b_Tipo,"Quarterly",b_Renov,"Yes",b_Inicio,"&lt;="&amp;$F48,b_Plano,"*")+COUNTIFS(b_Tipo,"Quarterly",b_Renov,"No",b_Inicio,"&lt;="&amp;$F48,b_Inicio,"&gt;"&amp;EDATE($F48,-m_Quarterly),b_Plano,"*"))+(COUNTIFS(b_Tipo,"Annual",b_Renov,"Yes",b_Inicio,"&lt;="&amp;$F48,b_Plano,"*")+COUNTIFS(b_Tipo,"Annual",b_Renov,"No",b_Inicio,"&lt;="&amp;$F48,b_Inicio,"&gt;"&amp;EDATE($F48,-m_Annual),b_Plano,"*"))</f>
        <v>50</v>
      </c>
      <c r="L48" s="14">
        <f>COUNTIFS(b_Inicio,"&gt;="&amp;E48,b_Inicio,"&lt;="&amp;$F48,b_Tipo,"*")</f>
        <v>30</v>
      </c>
      <c r="M48" s="27">
        <f>IFERROR(G48/G47-1,0)</f>
        <v>2.9615004935834355E-2</v>
      </c>
      <c r="O48" s="26" t="str">
        <f>"T4/"&amp;YEAR(E56)</f>
        <v>T4/2024</v>
      </c>
      <c r="P48" s="16">
        <f>G56</f>
        <v>1848.1666666666667</v>
      </c>
      <c r="Q48" s="16">
        <f>J56</f>
        <v>22178</v>
      </c>
      <c r="R48" s="14">
        <f>K56</f>
        <v>180</v>
      </c>
      <c r="S48" s="14">
        <f>SUM(L54:L56)</f>
        <v>77</v>
      </c>
      <c r="U48" s="23">
        <f>EDATE(U47,1)</f>
        <v>45383</v>
      </c>
      <c r="V48" s="24">
        <f>MIN(EOMONTH(U48,0),ref_Date)</f>
        <v>45412</v>
      </c>
      <c r="W48" s="16">
        <f>(SUMIFS(b_Total,b_Tipo,"Monthly",b_Renov,"Yes",b_Inicio,"&lt;="&amp;$V48,b_Plano,"*")+SUMIFS(b_Total,b_Tipo,"Monthly",b_Renov,"No",b_Inicio,"&lt;="&amp;$V48,b_Inicio,"&gt;"&amp;EDATE($V48,-m_Monthly),b_Plano,"*"))/m_Monthly</f>
        <v>415</v>
      </c>
      <c r="X48" s="16">
        <f>(SUMIFS(b_Total,b_Tipo,"Monthly",b_Renov,"Yes",b_Inicio,"&lt;="&amp;$V48,b_Plano,"*"))/m_Monthly</f>
        <v>119</v>
      </c>
      <c r="Y48" s="16">
        <f>(SUMIFS(b_Total,b_Tipo,"Monthly",b_Renov,"No",b_Inicio,"&lt;="&amp;$V48,b_Inicio,"&gt;"&amp;EDATE($V48,-m_Monthly),b_Plano,"*"))/m_Monthly</f>
        <v>296</v>
      </c>
      <c r="Z48" s="16">
        <f>W48*12</f>
        <v>4980</v>
      </c>
      <c r="AA48" s="14">
        <f>(COUNTIFS(b_Tipo,"Monthly",b_Renov,"Yes",b_Inicio,"&lt;="&amp;$V48,b_Plano,"*")+COUNTIFS(b_Tipo,"Monthly",b_Renov,"No",b_Inicio,"&lt;="&amp;$V48,b_Inicio,"&gt;"&amp;EDATE($V48,-m_Monthly),b_Plano,"*"))</f>
        <v>17</v>
      </c>
      <c r="AB48" s="14">
        <f>COUNTIFS(b_Inicio,"&gt;="&amp;U48,b_Inicio,"&lt;="&amp;$V48,b_Tipo,"Monthly")</f>
        <v>14</v>
      </c>
      <c r="AC48" s="27">
        <f>IFERROR(W48/W47-1,0)</f>
        <v>-0.16498993963782693</v>
      </c>
      <c r="AE48" s="26" t="str">
        <f>"T4/"&amp;YEAR(U56)</f>
        <v>T4/2024</v>
      </c>
      <c r="AF48" s="16">
        <f>W56</f>
        <v>1130</v>
      </c>
      <c r="AG48" s="16">
        <f>Z56</f>
        <v>13560</v>
      </c>
      <c r="AH48" s="14">
        <f>AA56</f>
        <v>43</v>
      </c>
      <c r="AI48" s="14">
        <f>SUM(AB54:AB56)</f>
        <v>38</v>
      </c>
      <c r="AK48" s="23">
        <f>EDATE(AK47,1)</f>
        <v>45383</v>
      </c>
      <c r="AL48" s="24">
        <f>MIN(EOMONTH(AK48,0),ref_Date)</f>
        <v>45412</v>
      </c>
      <c r="AM48" s="16">
        <f>(SUMIFS(b_Total,b_Tipo,"Quarterly",b_Renov,"Yes",b_Inicio,"&lt;="&amp;$AL48,b_Plano,"*")+SUMIFS(b_Total,b_Tipo,"Quarterly",b_Renov,"No",b_Inicio,"&lt;="&amp;$AL48,b_Inicio,"&gt;"&amp;EDATE($AL48,-m_Quarterly),b_Plano,"*"))/m_Quarterly</f>
        <v>166.33333333333334</v>
      </c>
      <c r="AN48" s="16">
        <f>(SUMIFS(b_Total,b_Tipo,"Quarterly",b_Renov,"Yes",b_Inicio,"&lt;="&amp;$AL48,b_Plano,"*"))/m_Quarterly</f>
        <v>130.66666666666666</v>
      </c>
      <c r="AO48" s="16">
        <f>(SUMIFS(b_Total,b_Tipo,"Quarterly",b_Renov,"No",b_Inicio,"&lt;="&amp;$AL48,b_Inicio,"&gt;"&amp;EDATE($AL48,-m_Quarterly),b_Plano,"*"))/m_Quarterly</f>
        <v>35.666666666666664</v>
      </c>
      <c r="AP48" s="16">
        <f>AM48*12</f>
        <v>1996</v>
      </c>
      <c r="AQ48" s="14">
        <f>(COUNTIFS(b_Tipo,"Quarterly",b_Renov,"Yes",b_Inicio,"&lt;="&amp;$AL48,b_Plano,"*")+COUNTIFS(b_Tipo,"Quarterly",b_Renov,"No",b_Inicio,"&lt;="&amp;$AL48,b_Inicio,"&gt;"&amp;EDATE($AL48,-m_Quarterly),b_Plano,"*"))</f>
        <v>18</v>
      </c>
      <c r="AR48" s="14">
        <f>COUNTIFS(b_Inicio,"&gt;="&amp;AK48,b_Inicio,"&lt;="&amp;$AL48,b_Tipo,"Quarterly")</f>
        <v>9</v>
      </c>
      <c r="AS48" s="27">
        <f>IFERROR(AM48/AM47-1,0)</f>
        <v>1.0284552845528458</v>
      </c>
      <c r="AU48" s="26" t="str">
        <f>"T4/"&amp;YEAR(AK56)</f>
        <v>T4/2024</v>
      </c>
      <c r="AV48" s="16">
        <f>AM56</f>
        <v>572</v>
      </c>
      <c r="AW48" s="16">
        <f>AP56</f>
        <v>6864</v>
      </c>
      <c r="AX48" s="14">
        <f>AQ56</f>
        <v>66</v>
      </c>
      <c r="AY48" s="14">
        <f>SUM(AR54:AR56)</f>
        <v>20</v>
      </c>
      <c r="BA48" s="23">
        <f>EDATE(BA47,1)</f>
        <v>45383</v>
      </c>
      <c r="BB48" s="24">
        <f>MIN(EOMONTH(BA48,0),ref_Date)</f>
        <v>45412</v>
      </c>
      <c r="BC48" s="16">
        <f>(SUMIFS(b_Total,b_Tipo,"Annual",b_Renov,"Yes",b_Inicio,"&lt;="&amp;$BB48,b_Plano,"*")+SUMIFS(b_Total,b_Tipo,"Annual",b_Renov,"No",b_Inicio,"&lt;="&amp;$BB48,b_Inicio,"&gt;"&amp;EDATE($BB48,-m_Annual),b_Plano,"*"))/m_Annual</f>
        <v>27.083333333333332</v>
      </c>
      <c r="BD48" s="16">
        <f>(SUMIFS(b_Total,b_Tipo,"Annual",b_Renov,"Yes",b_Inicio,"&lt;="&amp;$BB48,b_Plano,"*"))/m_Annual</f>
        <v>26.666666666666668</v>
      </c>
      <c r="BE48" s="16">
        <f>(SUMIFS(b_Total,b_Tipo,"Annual",b_Renov,"No",b_Inicio,"&lt;="&amp;$BB48,b_Inicio,"&gt;"&amp;EDATE($BB48,-m_Annual),b_Plano,"*"))/m_Annual</f>
        <v>0.41666666666666669</v>
      </c>
      <c r="BF48" s="16">
        <f>BC48*12</f>
        <v>325</v>
      </c>
      <c r="BG48" s="14">
        <f>(COUNTIFS(b_Tipo,"Annual",b_Renov,"Yes",b_Inicio,"&lt;="&amp;$BB48,b_Plano,"*")+COUNTIFS(b_Tipo,"Annual",b_Renov,"No",b_Inicio,"&lt;="&amp;$BB48,b_Inicio,"&gt;"&amp;EDATE($BB48,-m_Annual),b_Plano,"*"))</f>
        <v>15</v>
      </c>
      <c r="BH48" s="14">
        <f>COUNTIFS(b_Inicio,"&gt;="&amp;BA48,b_Inicio,"&lt;="&amp;$BB48,b_Tipo,"Annual")</f>
        <v>7</v>
      </c>
      <c r="BI48" s="27">
        <f>IFERROR(BC48/BC47-1,0)</f>
        <v>1.2727272727272729</v>
      </c>
      <c r="BK48" s="26" t="str">
        <f>"T4/"&amp;YEAR(BA56)</f>
        <v>T4/2024</v>
      </c>
      <c r="BL48" s="16">
        <f>BC56</f>
        <v>146.16666666666666</v>
      </c>
      <c r="BM48" s="16">
        <f>BF56</f>
        <v>1754</v>
      </c>
      <c r="BN48" s="14">
        <f>BG56</f>
        <v>71</v>
      </c>
      <c r="BO48" s="14">
        <f>SUM(BH54:BH56)</f>
        <v>19</v>
      </c>
    </row>
    <row r="49" spans="5:67">
      <c r="E49" s="23">
        <f>EDATE(E48,1)</f>
        <v>45413</v>
      </c>
      <c r="F49" s="24">
        <f>MIN(EOMONTH(E49,0),ref_Date)</f>
        <v>45443</v>
      </c>
      <c r="G49" s="16">
        <f>(SUMIFS(b_Total,b_Tipo,"Monthly",b_Renov,"Yes",b_Inicio,"&lt;="&amp;$F49,b_Plano,"*")+SUMIFS(b_Total,b_Tipo,"Monthly",b_Renov,"No",b_Inicio,"&lt;="&amp;$F49,b_Inicio,"&gt;"&amp;EDATE($F49,-m_Monthly),b_Plano,"*"))/m_Monthly+(SUMIFS(b_Total,b_Tipo,"Quarterly",b_Renov,"Yes",b_Inicio,"&lt;="&amp;$F49,b_Plano,"*")+SUMIFS(b_Total,b_Tipo,"Quarterly",b_Renov,"No",b_Inicio,"&lt;="&amp;$F49,b_Inicio,"&gt;"&amp;EDATE($F49,-m_Quarterly),b_Plano,"*"))/m_Quarterly+(SUMIFS(b_Total,b_Tipo,"Annual",b_Renov,"Yes",b_Inicio,"&lt;="&amp;$F49,b_Plano,"*")+SUMIFS(b_Total,b_Tipo,"Annual",b_Renov,"No",b_Inicio,"&lt;="&amp;$F49,b_Inicio,"&gt;"&amp;EDATE($F49,-m_Annual),b_Plano,"*"))/m_Annual</f>
        <v>739.33333333333326</v>
      </c>
      <c r="H49" s="16">
        <f>(SUMIFS(b_Total,b_Tipo,"Monthly",b_Renov,"Yes",b_Inicio,"&lt;="&amp;$F49,b_Plano,"*"))/m_Monthly+(SUMIFS(b_Total,b_Tipo,"Quarterly",b_Renov,"Yes",b_Inicio,"&lt;="&amp;$F49,b_Plano,"*"))/m_Quarterly+(SUMIFS(b_Total,b_Tipo,"Annual",b_Renov,"Yes",b_Inicio,"&lt;="&amp;$F49,b_Plano,"*"))/m_Annual</f>
        <v>584</v>
      </c>
      <c r="I49" s="16">
        <f>(SUMIFS(b_Total,b_Tipo,"Monthly",b_Renov,"No",b_Inicio,"&lt;="&amp;$F49,b_Inicio,"&gt;"&amp;EDATE($F49,-m_Monthly),b_Plano,"*"))/m_Monthly+(SUMIFS(b_Total,b_Tipo,"Quarterly",b_Renov,"No",b_Inicio,"&lt;="&amp;$F49,b_Inicio,"&gt;"&amp;EDATE($F49,-m_Quarterly),b_Plano,"*"))/m_Quarterly+(SUMIFS(b_Total,b_Tipo,"Annual",b_Renov,"No",b_Inicio,"&lt;="&amp;$F49,b_Inicio,"&gt;"&amp;EDATE($F49,-m_Annual),b_Plano,"*"))/m_Annual</f>
        <v>155.33333333333331</v>
      </c>
      <c r="J49" s="16">
        <f>G49*12</f>
        <v>8872</v>
      </c>
      <c r="K49" s="14">
        <f>(COUNTIFS(b_Tipo,"Monthly",b_Renov,"Yes",b_Inicio,"&lt;="&amp;$F49,b_Plano,"*")+COUNTIFS(b_Tipo,"Monthly",b_Renov,"No",b_Inicio,"&lt;="&amp;$F49,b_Inicio,"&gt;"&amp;EDATE($F49,-m_Monthly),b_Plano,"*"))+(COUNTIFS(b_Tipo,"Quarterly",b_Renov,"Yes",b_Inicio,"&lt;="&amp;$F49,b_Plano,"*")+COUNTIFS(b_Tipo,"Quarterly",b_Renov,"No",b_Inicio,"&lt;="&amp;$F49,b_Inicio,"&gt;"&amp;EDATE($F49,-m_Quarterly),b_Plano,"*"))+(COUNTIFS(b_Tipo,"Annual",b_Renov,"Yes",b_Inicio,"&lt;="&amp;$F49,b_Plano,"*")+COUNTIFS(b_Tipo,"Annual",b_Renov,"No",b_Inicio,"&lt;="&amp;$F49,b_Inicio,"&gt;"&amp;EDATE($F49,-m_Annual),b_Plano,"*"))</f>
        <v>68</v>
      </c>
      <c r="L49" s="14">
        <f>COUNTIFS(b_Inicio,"&gt;="&amp;E49,b_Inicio,"&lt;="&amp;$F49,b_Tipo,"*")</f>
        <v>31</v>
      </c>
      <c r="M49" s="27">
        <f>IFERROR(G49/G48-1,0)</f>
        <v>0.21517600328722075</v>
      </c>
      <c r="O49" s="28" t="str">
        <f>"Ano "&amp;YEAR(E45)</f>
        <v>Ano 2024</v>
      </c>
      <c r="P49" s="20">
        <f>G56</f>
        <v>1848.1666666666667</v>
      </c>
      <c r="Q49" s="20">
        <f>J56</f>
        <v>22178</v>
      </c>
      <c r="R49" s="19">
        <f>K56</f>
        <v>180</v>
      </c>
      <c r="S49" s="19">
        <f>SUM(L45:L56)</f>
        <v>295</v>
      </c>
      <c r="U49" s="23">
        <f>EDATE(U48,1)</f>
        <v>45413</v>
      </c>
      <c r="V49" s="24">
        <f>MIN(EOMONTH(U49,0),ref_Date)</f>
        <v>45443</v>
      </c>
      <c r="W49" s="16">
        <f>(SUMIFS(b_Total,b_Tipo,"Monthly",b_Renov,"Yes",b_Inicio,"&lt;="&amp;$V49,b_Plano,"*")+SUMIFS(b_Total,b_Tipo,"Monthly",b_Renov,"No",b_Inicio,"&lt;="&amp;$V49,b_Inicio,"&gt;"&amp;EDATE($V49,-m_Monthly),b_Plano,"*"))/m_Monthly</f>
        <v>441</v>
      </c>
      <c r="X49" s="16">
        <f>(SUMIFS(b_Total,b_Tipo,"Monthly",b_Renov,"Yes",b_Inicio,"&lt;="&amp;$V49,b_Plano,"*"))/m_Monthly</f>
        <v>386</v>
      </c>
      <c r="Y49" s="16">
        <f>(SUMIFS(b_Total,b_Tipo,"Monthly",b_Renov,"No",b_Inicio,"&lt;="&amp;$V49,b_Inicio,"&gt;"&amp;EDATE($V49,-m_Monthly),b_Plano,"*"))/m_Monthly</f>
        <v>55</v>
      </c>
      <c r="Z49" s="16">
        <f>W49*12</f>
        <v>5292</v>
      </c>
      <c r="AA49" s="14">
        <f>(COUNTIFS(b_Tipo,"Monthly",b_Renov,"Yes",b_Inicio,"&lt;="&amp;$V49,b_Plano,"*")+COUNTIFS(b_Tipo,"Monthly",b_Renov,"No",b_Inicio,"&lt;="&amp;$V49,b_Inicio,"&gt;"&amp;EDATE($V49,-m_Monthly),b_Plano,"*"))</f>
        <v>17</v>
      </c>
      <c r="AB49" s="14">
        <f>COUNTIFS(b_Inicio,"&gt;="&amp;U49,b_Inicio,"&lt;="&amp;$V49,b_Tipo,"Monthly")</f>
        <v>13</v>
      </c>
      <c r="AC49" s="27">
        <f>IFERROR(W49/W48-1,0)</f>
        <v>6.2650602409638489E-2</v>
      </c>
      <c r="AE49" s="28" t="str">
        <f>"Ano "&amp;YEAR(U45)</f>
        <v>Ano 2024</v>
      </c>
      <c r="AF49" s="20">
        <f>W56</f>
        <v>1130</v>
      </c>
      <c r="AG49" s="20">
        <f>Z56</f>
        <v>13560</v>
      </c>
      <c r="AH49" s="19">
        <f>AA56</f>
        <v>43</v>
      </c>
      <c r="AI49" s="19">
        <f>SUM(AB45:AB56)</f>
        <v>139</v>
      </c>
      <c r="AK49" s="23">
        <f>EDATE(AK48,1)</f>
        <v>45413</v>
      </c>
      <c r="AL49" s="24">
        <f>MIN(EOMONTH(AK49,0),ref_Date)</f>
        <v>45443</v>
      </c>
      <c r="AM49" s="16">
        <f>(SUMIFS(b_Total,b_Tipo,"Quarterly",b_Renov,"Yes",b_Inicio,"&lt;="&amp;$AL49,b_Plano,"*")+SUMIFS(b_Total,b_Tipo,"Quarterly",b_Renov,"No",b_Inicio,"&lt;="&amp;$AL49,b_Inicio,"&gt;"&amp;EDATE($AL49,-m_Quarterly),b_Plano,"*"))/m_Quarterly</f>
        <v>255.66666666666666</v>
      </c>
      <c r="AN49" s="16">
        <f>(SUMIFS(b_Total,b_Tipo,"Quarterly",b_Renov,"Yes",b_Inicio,"&lt;="&amp;$AL49,b_Plano,"*"))/m_Quarterly</f>
        <v>171.33333333333334</v>
      </c>
      <c r="AO49" s="16">
        <f>(SUMIFS(b_Total,b_Tipo,"Quarterly",b_Renov,"No",b_Inicio,"&lt;="&amp;$AL49,b_Inicio,"&gt;"&amp;EDATE($AL49,-m_Quarterly),b_Plano,"*"))/m_Quarterly</f>
        <v>84.333333333333329</v>
      </c>
      <c r="AP49" s="16">
        <f>AM49*12</f>
        <v>3068</v>
      </c>
      <c r="AQ49" s="14">
        <f>(COUNTIFS(b_Tipo,"Quarterly",b_Renov,"Yes",b_Inicio,"&lt;="&amp;$AL49,b_Plano,"*")+COUNTIFS(b_Tipo,"Quarterly",b_Renov,"No",b_Inicio,"&lt;="&amp;$AL49,b_Inicio,"&gt;"&amp;EDATE($AL49,-m_Quarterly),b_Plano,"*"))</f>
        <v>28</v>
      </c>
      <c r="AR49" s="14">
        <f>COUNTIFS(b_Inicio,"&gt;="&amp;AK49,b_Inicio,"&lt;="&amp;$AL49,b_Tipo,"Quarterly")</f>
        <v>10</v>
      </c>
      <c r="AS49" s="27">
        <f>IFERROR(AM49/AM48-1,0)</f>
        <v>0.53707414829659306</v>
      </c>
      <c r="AU49" s="28" t="str">
        <f>"Ano "&amp;YEAR(AK45)</f>
        <v>Ano 2024</v>
      </c>
      <c r="AV49" s="20">
        <f>AM56</f>
        <v>572</v>
      </c>
      <c r="AW49" s="20">
        <f>AP56</f>
        <v>6864</v>
      </c>
      <c r="AX49" s="19">
        <f>AQ56</f>
        <v>66</v>
      </c>
      <c r="AY49" s="19">
        <f>SUM(AR45:AR56)</f>
        <v>85</v>
      </c>
      <c r="BA49" s="23">
        <f>EDATE(BA48,1)</f>
        <v>45413</v>
      </c>
      <c r="BB49" s="24">
        <f>MIN(EOMONTH(BA49,0),ref_Date)</f>
        <v>45443</v>
      </c>
      <c r="BC49" s="16">
        <f>(SUMIFS(b_Total,b_Tipo,"Annual",b_Renov,"Yes",b_Inicio,"&lt;="&amp;$BB49,b_Plano,"*")+SUMIFS(b_Total,b_Tipo,"Annual",b_Renov,"No",b_Inicio,"&lt;="&amp;$BB49,b_Inicio,"&gt;"&amp;EDATE($BB49,-m_Annual),b_Plano,"*"))/m_Annual</f>
        <v>42.666666666666664</v>
      </c>
      <c r="BD49" s="16">
        <f>(SUMIFS(b_Total,b_Tipo,"Annual",b_Renov,"Yes",b_Inicio,"&lt;="&amp;$BB49,b_Plano,"*"))/m_Annual</f>
        <v>26.666666666666668</v>
      </c>
      <c r="BE49" s="16">
        <f>(SUMIFS(b_Total,b_Tipo,"Annual",b_Renov,"No",b_Inicio,"&lt;="&amp;$BB49,b_Inicio,"&gt;"&amp;EDATE($BB49,-m_Annual),b_Plano,"*"))/m_Annual</f>
        <v>16</v>
      </c>
      <c r="BF49" s="16">
        <f>BC49*12</f>
        <v>512</v>
      </c>
      <c r="BG49" s="14">
        <f>(COUNTIFS(b_Tipo,"Annual",b_Renov,"Yes",b_Inicio,"&lt;="&amp;$BB49,b_Plano,"*")+COUNTIFS(b_Tipo,"Annual",b_Renov,"No",b_Inicio,"&lt;="&amp;$BB49,b_Inicio,"&gt;"&amp;EDATE($BB49,-m_Annual),b_Plano,"*"))</f>
        <v>23</v>
      </c>
      <c r="BH49" s="14">
        <f>COUNTIFS(b_Inicio,"&gt;="&amp;BA49,b_Inicio,"&lt;="&amp;$BB49,b_Tipo,"Annual")</f>
        <v>8</v>
      </c>
      <c r="BI49" s="27">
        <f>IFERROR(BC49/BC48-1,0)</f>
        <v>0.57538461538461538</v>
      </c>
      <c r="BK49" s="28" t="str">
        <f>"Ano "&amp;YEAR(BA45)</f>
        <v>Ano 2024</v>
      </c>
      <c r="BL49" s="20">
        <f>BC56</f>
        <v>146.16666666666666</v>
      </c>
      <c r="BM49" s="20">
        <f>BF56</f>
        <v>1754</v>
      </c>
      <c r="BN49" s="19">
        <f>BG56</f>
        <v>71</v>
      </c>
      <c r="BO49" s="19">
        <f>SUM(BH45:BH56)</f>
        <v>71</v>
      </c>
    </row>
    <row r="50" spans="5:67">
      <c r="E50" s="23">
        <f>EDATE(E49,1)</f>
        <v>45444</v>
      </c>
      <c r="F50" s="24">
        <f>MIN(EOMONTH(E50,0),ref_Date)</f>
        <v>45473</v>
      </c>
      <c r="G50" s="16">
        <f>(SUMIFS(b_Total,b_Tipo,"Monthly",b_Renov,"Yes",b_Inicio,"&lt;="&amp;$F50,b_Plano,"*")+SUMIFS(b_Total,b_Tipo,"Monthly",b_Renov,"No",b_Inicio,"&lt;="&amp;$F50,b_Inicio,"&gt;"&amp;EDATE($F50,-m_Monthly),b_Plano,"*"))/m_Monthly+(SUMIFS(b_Total,b_Tipo,"Quarterly",b_Renov,"Yes",b_Inicio,"&lt;="&amp;$F50,b_Plano,"*")+SUMIFS(b_Total,b_Tipo,"Quarterly",b_Renov,"No",b_Inicio,"&lt;="&amp;$F50,b_Inicio,"&gt;"&amp;EDATE($F50,-m_Quarterly),b_Plano,"*"))/m_Quarterly+(SUMIFS(b_Total,b_Tipo,"Annual",b_Renov,"Yes",b_Inicio,"&lt;="&amp;$F50,b_Plano,"*")+SUMIFS(b_Total,b_Tipo,"Annual",b_Renov,"No",b_Inicio,"&lt;="&amp;$F50,b_Inicio,"&gt;"&amp;EDATE($F50,-m_Annual),b_Plano,"*"))/m_Annual</f>
        <v>1155.1666666666667</v>
      </c>
      <c r="H50" s="16">
        <f>(SUMIFS(b_Total,b_Tipo,"Monthly",b_Renov,"Yes",b_Inicio,"&lt;="&amp;$F50,b_Plano,"*"))/m_Monthly+(SUMIFS(b_Total,b_Tipo,"Quarterly",b_Renov,"Yes",b_Inicio,"&lt;="&amp;$F50,b_Plano,"*"))/m_Quarterly+(SUMIFS(b_Total,b_Tipo,"Annual",b_Renov,"Yes",b_Inicio,"&lt;="&amp;$F50,b_Plano,"*"))/m_Annual</f>
        <v>782.08333333333326</v>
      </c>
      <c r="I50" s="16">
        <f>(SUMIFS(b_Total,b_Tipo,"Monthly",b_Renov,"No",b_Inicio,"&lt;="&amp;$F50,b_Inicio,"&gt;"&amp;EDATE($F50,-m_Monthly),b_Plano,"*"))/m_Monthly+(SUMIFS(b_Total,b_Tipo,"Quarterly",b_Renov,"No",b_Inicio,"&lt;="&amp;$F50,b_Inicio,"&gt;"&amp;EDATE($F50,-m_Quarterly),b_Plano,"*"))/m_Quarterly+(SUMIFS(b_Total,b_Tipo,"Annual",b_Renov,"No",b_Inicio,"&lt;="&amp;$F50,b_Inicio,"&gt;"&amp;EDATE($F50,-m_Annual),b_Plano,"*"))/m_Annual</f>
        <v>373.08333333333331</v>
      </c>
      <c r="J50" s="16">
        <f>G50*12</f>
        <v>13862</v>
      </c>
      <c r="K50" s="14">
        <f>(COUNTIFS(b_Tipo,"Monthly",b_Renov,"Yes",b_Inicio,"&lt;="&amp;$F50,b_Plano,"*")+COUNTIFS(b_Tipo,"Monthly",b_Renov,"No",b_Inicio,"&lt;="&amp;$F50,b_Inicio,"&gt;"&amp;EDATE($F50,-m_Monthly),b_Plano,"*"))+(COUNTIFS(b_Tipo,"Quarterly",b_Renov,"Yes",b_Inicio,"&lt;="&amp;$F50,b_Plano,"*")+COUNTIFS(b_Tipo,"Quarterly",b_Renov,"No",b_Inicio,"&lt;="&amp;$F50,b_Inicio,"&gt;"&amp;EDATE($F50,-m_Quarterly),b_Plano,"*"))+(COUNTIFS(b_Tipo,"Annual",b_Renov,"Yes",b_Inicio,"&lt;="&amp;$F50,b_Plano,"*")+COUNTIFS(b_Tipo,"Annual",b_Renov,"No",b_Inicio,"&lt;="&amp;$F50,b_Inicio,"&gt;"&amp;EDATE($F50,-m_Annual),b_Plano,"*"))</f>
        <v>96</v>
      </c>
      <c r="L50" s="14">
        <f>COUNTIFS(b_Inicio,"&gt;="&amp;E50,b_Inicio,"&lt;="&amp;$F50,b_Tipo,"*")</f>
        <v>30</v>
      </c>
      <c r="M50" s="27">
        <f>IFERROR(G50/G49-1,0)</f>
        <v>0.56244364292155113</v>
      </c>
      <c r="U50" s="23">
        <f>EDATE(U49,1)</f>
        <v>45444</v>
      </c>
      <c r="V50" s="24">
        <f>MIN(EOMONTH(U50,0),ref_Date)</f>
        <v>45473</v>
      </c>
      <c r="W50" s="16">
        <f>(SUMIFS(b_Total,b_Tipo,"Monthly",b_Renov,"Yes",b_Inicio,"&lt;="&amp;$V50,b_Plano,"*")+SUMIFS(b_Total,b_Tipo,"Monthly",b_Renov,"No",b_Inicio,"&lt;="&amp;$V50,b_Inicio,"&gt;"&amp;EDATE($V50,-m_Monthly),b_Plano,"*"))/m_Monthly</f>
        <v>756</v>
      </c>
      <c r="X50" s="16">
        <f>(SUMIFS(b_Total,b_Tipo,"Monthly",b_Renov,"Yes",b_Inicio,"&lt;="&amp;$V50,b_Plano,"*"))/m_Monthly</f>
        <v>527</v>
      </c>
      <c r="Y50" s="16">
        <f>(SUMIFS(b_Total,b_Tipo,"Monthly",b_Renov,"No",b_Inicio,"&lt;="&amp;$V50,b_Inicio,"&gt;"&amp;EDATE($V50,-m_Monthly),b_Plano,"*"))/m_Monthly</f>
        <v>229</v>
      </c>
      <c r="Z50" s="16">
        <f>W50*12</f>
        <v>9072</v>
      </c>
      <c r="AA50" s="14">
        <f>(COUNTIFS(b_Tipo,"Monthly",b_Renov,"Yes",b_Inicio,"&lt;="&amp;$V50,b_Plano,"*")+COUNTIFS(b_Tipo,"Monthly",b_Renov,"No",b_Inicio,"&lt;="&amp;$V50,b_Inicio,"&gt;"&amp;EDATE($V50,-m_Monthly),b_Plano,"*"))</f>
        <v>28</v>
      </c>
      <c r="AB50" s="14">
        <f>COUNTIFS(b_Inicio,"&gt;="&amp;U50,b_Inicio,"&lt;="&amp;$V50,b_Tipo,"Monthly")</f>
        <v>13</v>
      </c>
      <c r="AC50" s="27">
        <f>IFERROR(W50/W49-1,0)</f>
        <v>0.71428571428571419</v>
      </c>
      <c r="AK50" s="23">
        <f>EDATE(AK49,1)</f>
        <v>45444</v>
      </c>
      <c r="AL50" s="24">
        <f>MIN(EOMONTH(AK50,0),ref_Date)</f>
        <v>45473</v>
      </c>
      <c r="AM50" s="16">
        <f>(SUMIFS(b_Total,b_Tipo,"Quarterly",b_Renov,"Yes",b_Inicio,"&lt;="&amp;$AL50,b_Plano,"*")+SUMIFS(b_Total,b_Tipo,"Quarterly",b_Renov,"No",b_Inicio,"&lt;="&amp;$AL50,b_Inicio,"&gt;"&amp;EDATE($AL50,-m_Quarterly),b_Plano,"*"))/m_Quarterly</f>
        <v>345.66666666666669</v>
      </c>
      <c r="AN50" s="16">
        <f>(SUMIFS(b_Total,b_Tipo,"Quarterly",b_Renov,"Yes",b_Inicio,"&lt;="&amp;$AL50,b_Plano,"*"))/m_Quarterly</f>
        <v>219.66666666666666</v>
      </c>
      <c r="AO50" s="16">
        <f>(SUMIFS(b_Total,b_Tipo,"Quarterly",b_Renov,"No",b_Inicio,"&lt;="&amp;$AL50,b_Inicio,"&gt;"&amp;EDATE($AL50,-m_Quarterly),b_Plano,"*"))/m_Quarterly</f>
        <v>126</v>
      </c>
      <c r="AP50" s="16">
        <f>AM50*12</f>
        <v>4148</v>
      </c>
      <c r="AQ50" s="14">
        <f>(COUNTIFS(b_Tipo,"Quarterly",b_Renov,"Yes",b_Inicio,"&lt;="&amp;$AL50,b_Plano,"*")+COUNTIFS(b_Tipo,"Quarterly",b_Renov,"No",b_Inicio,"&lt;="&amp;$AL50,b_Inicio,"&gt;"&amp;EDATE($AL50,-m_Quarterly),b_Plano,"*"))</f>
        <v>38</v>
      </c>
      <c r="AR50" s="14">
        <f>COUNTIFS(b_Inicio,"&gt;="&amp;AK50,b_Inicio,"&lt;="&amp;$AL50,b_Tipo,"Quarterly")</f>
        <v>10</v>
      </c>
      <c r="AS50" s="27">
        <f>IFERROR(AM50/AM49-1,0)</f>
        <v>0.3520208604954369</v>
      </c>
      <c r="BA50" s="23">
        <f>EDATE(BA49,1)</f>
        <v>45444</v>
      </c>
      <c r="BB50" s="24">
        <f>MIN(EOMONTH(BA50,0),ref_Date)</f>
        <v>45473</v>
      </c>
      <c r="BC50" s="16">
        <f>(SUMIFS(b_Total,b_Tipo,"Annual",b_Renov,"Yes",b_Inicio,"&lt;="&amp;$BB50,b_Plano,"*")+SUMIFS(b_Total,b_Tipo,"Annual",b_Renov,"No",b_Inicio,"&lt;="&amp;$BB50,b_Inicio,"&gt;"&amp;EDATE($BB50,-m_Annual),b_Plano,"*"))/m_Annual</f>
        <v>53.5</v>
      </c>
      <c r="BD50" s="16">
        <f>(SUMIFS(b_Total,b_Tipo,"Annual",b_Renov,"Yes",b_Inicio,"&lt;="&amp;$BB50,b_Plano,"*"))/m_Annual</f>
        <v>35.416666666666664</v>
      </c>
      <c r="BE50" s="16">
        <f>(SUMIFS(b_Total,b_Tipo,"Annual",b_Renov,"No",b_Inicio,"&lt;="&amp;$BB50,b_Inicio,"&gt;"&amp;EDATE($BB50,-m_Annual),b_Plano,"*"))/m_Annual</f>
        <v>18.083333333333332</v>
      </c>
      <c r="BF50" s="16">
        <f>BC50*12</f>
        <v>642</v>
      </c>
      <c r="BG50" s="14">
        <f>(COUNTIFS(b_Tipo,"Annual",b_Renov,"Yes",b_Inicio,"&lt;="&amp;$BB50,b_Plano,"*")+COUNTIFS(b_Tipo,"Annual",b_Renov,"No",b_Inicio,"&lt;="&amp;$BB50,b_Inicio,"&gt;"&amp;EDATE($BB50,-m_Annual),b_Plano,"*"))</f>
        <v>30</v>
      </c>
      <c r="BH50" s="14">
        <f>COUNTIFS(b_Inicio,"&gt;="&amp;BA50,b_Inicio,"&lt;="&amp;$BB50,b_Tipo,"Annual")</f>
        <v>7</v>
      </c>
      <c r="BI50" s="27">
        <f>IFERROR(BC50/BC49-1,0)</f>
        <v>0.25390625</v>
      </c>
    </row>
    <row r="51" spans="5:67">
      <c r="E51" s="23">
        <f>EDATE(E50,1)</f>
        <v>45474</v>
      </c>
      <c r="F51" s="24">
        <f>MIN(EOMONTH(E51,0),ref_Date)</f>
        <v>45504</v>
      </c>
      <c r="G51" s="16">
        <f>(SUMIFS(b_Total,b_Tipo,"Monthly",b_Renov,"Yes",b_Inicio,"&lt;="&amp;$F51,b_Plano,"*")+SUMIFS(b_Total,b_Tipo,"Monthly",b_Renov,"No",b_Inicio,"&lt;="&amp;$F51,b_Inicio,"&gt;"&amp;EDATE($F51,-m_Monthly),b_Plano,"*"))/m_Monthly+(SUMIFS(b_Total,b_Tipo,"Quarterly",b_Renov,"Yes",b_Inicio,"&lt;="&amp;$F51,b_Plano,"*")+SUMIFS(b_Total,b_Tipo,"Quarterly",b_Renov,"No",b_Inicio,"&lt;="&amp;$F51,b_Inicio,"&gt;"&amp;EDATE($F51,-m_Quarterly),b_Plano,"*"))/m_Quarterly+(SUMIFS(b_Total,b_Tipo,"Annual",b_Renov,"Yes",b_Inicio,"&lt;="&amp;$F51,b_Plano,"*")+SUMIFS(b_Total,b_Tipo,"Annual",b_Renov,"No",b_Inicio,"&lt;="&amp;$F51,b_Inicio,"&gt;"&amp;EDATE($F51,-m_Annual),b_Plano,"*"))/m_Annual</f>
        <v>1330.3333333333335</v>
      </c>
      <c r="H51" s="16">
        <f>(SUMIFS(b_Total,b_Tipo,"Monthly",b_Renov,"Yes",b_Inicio,"&lt;="&amp;$F51,b_Plano,"*"))/m_Monthly+(SUMIFS(b_Total,b_Tipo,"Quarterly",b_Renov,"Yes",b_Inicio,"&lt;="&amp;$F51,b_Plano,"*"))/m_Quarterly+(SUMIFS(b_Total,b_Tipo,"Annual",b_Renov,"Yes",b_Inicio,"&lt;="&amp;$F51,b_Plano,"*"))/m_Annual</f>
        <v>905.25000000000011</v>
      </c>
      <c r="I51" s="16">
        <f>(SUMIFS(b_Total,b_Tipo,"Monthly",b_Renov,"No",b_Inicio,"&lt;="&amp;$F51,b_Inicio,"&gt;"&amp;EDATE($F51,-m_Monthly),b_Plano,"*"))/m_Monthly+(SUMIFS(b_Total,b_Tipo,"Quarterly",b_Renov,"No",b_Inicio,"&lt;="&amp;$F51,b_Inicio,"&gt;"&amp;EDATE($F51,-m_Quarterly),b_Plano,"*"))/m_Quarterly+(SUMIFS(b_Total,b_Tipo,"Annual",b_Renov,"No",b_Inicio,"&lt;="&amp;$F51,b_Inicio,"&gt;"&amp;EDATE($F51,-m_Annual),b_Plano,"*"))/m_Annual</f>
        <v>425.08333333333331</v>
      </c>
      <c r="J51" s="16">
        <f>G51*12</f>
        <v>15964.000000000002</v>
      </c>
      <c r="K51" s="14">
        <f>(COUNTIFS(b_Tipo,"Monthly",b_Renov,"Yes",b_Inicio,"&lt;="&amp;$F51,b_Plano,"*")+COUNTIFS(b_Tipo,"Monthly",b_Renov,"No",b_Inicio,"&lt;="&amp;$F51,b_Inicio,"&gt;"&amp;EDATE($F51,-m_Monthly),b_Plano,"*"))+(COUNTIFS(b_Tipo,"Quarterly",b_Renov,"Yes",b_Inicio,"&lt;="&amp;$F51,b_Plano,"*")+COUNTIFS(b_Tipo,"Quarterly",b_Renov,"No",b_Inicio,"&lt;="&amp;$F51,b_Inicio,"&gt;"&amp;EDATE($F51,-m_Quarterly),b_Plano,"*"))+(COUNTIFS(b_Tipo,"Annual",b_Renov,"Yes",b_Inicio,"&lt;="&amp;$F51,b_Plano,"*")+COUNTIFS(b_Tipo,"Annual",b_Renov,"No",b_Inicio,"&lt;="&amp;$F51,b_Inicio,"&gt;"&amp;EDATE($F51,-m_Annual),b_Plano,"*"))</f>
        <v>116</v>
      </c>
      <c r="L51" s="14">
        <f>COUNTIFS(b_Inicio,"&gt;="&amp;E51,b_Inicio,"&lt;="&amp;$F51,b_Tipo,"*")</f>
        <v>31</v>
      </c>
      <c r="M51" s="27">
        <f>IFERROR(G51/G50-1,0)</f>
        <v>0.15163757033617098</v>
      </c>
      <c r="O51" s="55" t="s">
        <v>78</v>
      </c>
      <c r="P51" s="30"/>
      <c r="Q51" s="30"/>
      <c r="R51" s="30"/>
      <c r="S51" s="30"/>
      <c r="U51" s="23">
        <f>EDATE(U50,1)</f>
        <v>45474</v>
      </c>
      <c r="V51" s="24">
        <f>MIN(EOMONTH(U51,0),ref_Date)</f>
        <v>45504</v>
      </c>
      <c r="W51" s="16">
        <f>(SUMIFS(b_Total,b_Tipo,"Monthly",b_Renov,"Yes",b_Inicio,"&lt;="&amp;$V51,b_Plano,"*")+SUMIFS(b_Total,b_Tipo,"Monthly",b_Renov,"No",b_Inicio,"&lt;="&amp;$V51,b_Inicio,"&gt;"&amp;EDATE($V51,-m_Monthly),b_Plano,"*"))/m_Monthly</f>
        <v>863</v>
      </c>
      <c r="X51" s="16">
        <f>(SUMIFS(b_Total,b_Tipo,"Monthly",b_Renov,"Yes",b_Inicio,"&lt;="&amp;$V51,b_Plano,"*"))/m_Monthly</f>
        <v>582</v>
      </c>
      <c r="Y51" s="16">
        <f>(SUMIFS(b_Total,b_Tipo,"Monthly",b_Renov,"No",b_Inicio,"&lt;="&amp;$V51,b_Inicio,"&gt;"&amp;EDATE($V51,-m_Monthly),b_Plano,"*"))/m_Monthly</f>
        <v>281</v>
      </c>
      <c r="Z51" s="16">
        <f>W51*12</f>
        <v>10356</v>
      </c>
      <c r="AA51" s="14">
        <f>(COUNTIFS(b_Tipo,"Monthly",b_Renov,"Yes",b_Inicio,"&lt;="&amp;$V51,b_Plano,"*")+COUNTIFS(b_Tipo,"Monthly",b_Renov,"No",b_Inicio,"&lt;="&amp;$V51,b_Inicio,"&gt;"&amp;EDATE($V51,-m_Monthly),b_Plano,"*"))</f>
        <v>35</v>
      </c>
      <c r="AB51" s="14">
        <f>COUNTIFS(b_Inicio,"&gt;="&amp;U51,b_Inicio,"&lt;="&amp;$V51,b_Tipo,"Monthly")</f>
        <v>15</v>
      </c>
      <c r="AC51" s="27">
        <f>IFERROR(W51/W50-1,0)</f>
        <v>0.14153439153439162</v>
      </c>
      <c r="AE51" s="55" t="s">
        <v>78</v>
      </c>
      <c r="AF51" s="30"/>
      <c r="AG51" s="30"/>
      <c r="AH51" s="30"/>
      <c r="AI51" s="30"/>
      <c r="AK51" s="23">
        <f>EDATE(AK50,1)</f>
        <v>45474</v>
      </c>
      <c r="AL51" s="24">
        <f>MIN(EOMONTH(AK51,0),ref_Date)</f>
        <v>45504</v>
      </c>
      <c r="AM51" s="16">
        <f>(SUMIFS(b_Total,b_Tipo,"Quarterly",b_Renov,"Yes",b_Inicio,"&lt;="&amp;$AL51,b_Plano,"*")+SUMIFS(b_Total,b_Tipo,"Quarterly",b_Renov,"No",b_Inicio,"&lt;="&amp;$AL51,b_Inicio,"&gt;"&amp;EDATE($AL51,-m_Quarterly),b_Plano,"*"))/m_Quarterly</f>
        <v>398.66666666666669</v>
      </c>
      <c r="AN51" s="16">
        <f>(SUMIFS(b_Total,b_Tipo,"Quarterly",b_Renov,"Yes",b_Inicio,"&lt;="&amp;$AL51,b_Plano,"*"))/m_Quarterly</f>
        <v>272.66666666666669</v>
      </c>
      <c r="AO51" s="16">
        <f>(SUMIFS(b_Total,b_Tipo,"Quarterly",b_Renov,"No",b_Inicio,"&lt;="&amp;$AL51,b_Inicio,"&gt;"&amp;EDATE($AL51,-m_Quarterly),b_Plano,"*"))/m_Quarterly</f>
        <v>126</v>
      </c>
      <c r="AP51" s="16">
        <f>AM51*12</f>
        <v>4784</v>
      </c>
      <c r="AQ51" s="14">
        <f>(COUNTIFS(b_Tipo,"Quarterly",b_Renov,"Yes",b_Inicio,"&lt;="&amp;$AL51,b_Plano,"*")+COUNTIFS(b_Tipo,"Quarterly",b_Renov,"No",b_Inicio,"&lt;="&amp;$AL51,b_Inicio,"&gt;"&amp;EDATE($AL51,-m_Quarterly),b_Plano,"*"))</f>
        <v>44</v>
      </c>
      <c r="AR51" s="14">
        <f>COUNTIFS(b_Inicio,"&gt;="&amp;AK51,b_Inicio,"&lt;="&amp;$AL51,b_Tipo,"Quarterly")</f>
        <v>9</v>
      </c>
      <c r="AS51" s="27">
        <f>IFERROR(AM51/AM50-1,0)</f>
        <v>0.15332690453230469</v>
      </c>
      <c r="AU51" s="55" t="s">
        <v>78</v>
      </c>
      <c r="AV51" s="30"/>
      <c r="AW51" s="30"/>
      <c r="AX51" s="30"/>
      <c r="AY51" s="30"/>
      <c r="BA51" s="23">
        <f>EDATE(BA50,1)</f>
        <v>45474</v>
      </c>
      <c r="BB51" s="24">
        <f>MIN(EOMONTH(BA51,0),ref_Date)</f>
        <v>45504</v>
      </c>
      <c r="BC51" s="16">
        <f>(SUMIFS(b_Total,b_Tipo,"Annual",b_Renov,"Yes",b_Inicio,"&lt;="&amp;$BB51,b_Plano,"*")+SUMIFS(b_Total,b_Tipo,"Annual",b_Renov,"No",b_Inicio,"&lt;="&amp;$BB51,b_Inicio,"&gt;"&amp;EDATE($BB51,-m_Annual),b_Plano,"*"))/m_Annual</f>
        <v>68.666666666666671</v>
      </c>
      <c r="BD51" s="16">
        <f>(SUMIFS(b_Total,b_Tipo,"Annual",b_Renov,"Yes",b_Inicio,"&lt;="&amp;$BB51,b_Plano,"*"))/m_Annual</f>
        <v>50.583333333333336</v>
      </c>
      <c r="BE51" s="16">
        <f>(SUMIFS(b_Total,b_Tipo,"Annual",b_Renov,"No",b_Inicio,"&lt;="&amp;$BB51,b_Inicio,"&gt;"&amp;EDATE($BB51,-m_Annual),b_Plano,"*"))/m_Annual</f>
        <v>18.083333333333332</v>
      </c>
      <c r="BF51" s="16">
        <f>BC51*12</f>
        <v>824</v>
      </c>
      <c r="BG51" s="14">
        <f>(COUNTIFS(b_Tipo,"Annual",b_Renov,"Yes",b_Inicio,"&lt;="&amp;$BB51,b_Plano,"*")+COUNTIFS(b_Tipo,"Annual",b_Renov,"No",b_Inicio,"&lt;="&amp;$BB51,b_Inicio,"&gt;"&amp;EDATE($BB51,-m_Annual),b_Plano,"*"))</f>
        <v>37</v>
      </c>
      <c r="BH51" s="14">
        <f>COUNTIFS(b_Inicio,"&gt;="&amp;BA51,b_Inicio,"&lt;="&amp;$BB51,b_Tipo,"Annual")</f>
        <v>7</v>
      </c>
      <c r="BI51" s="27">
        <f>IFERROR(BC51/BC50-1,0)</f>
        <v>0.28348909657320887</v>
      </c>
      <c r="BK51" s="55" t="s">
        <v>78</v>
      </c>
      <c r="BL51" s="30"/>
      <c r="BM51" s="30"/>
      <c r="BN51" s="30"/>
      <c r="BO51" s="30"/>
    </row>
    <row r="52" spans="5:67">
      <c r="E52" s="23">
        <f>EDATE(E51,1)</f>
        <v>45505</v>
      </c>
      <c r="F52" s="24">
        <f>MIN(EOMONTH(E52,0),ref_Date)</f>
        <v>45535</v>
      </c>
      <c r="G52" s="16">
        <f>(SUMIFS(b_Total,b_Tipo,"Monthly",b_Renov,"Yes",b_Inicio,"&lt;="&amp;$F52,b_Plano,"*")+SUMIFS(b_Total,b_Tipo,"Monthly",b_Renov,"No",b_Inicio,"&lt;="&amp;$F52,b_Inicio,"&gt;"&amp;EDATE($F52,-m_Monthly),b_Plano,"*"))/m_Monthly+(SUMIFS(b_Total,b_Tipo,"Quarterly",b_Renov,"Yes",b_Inicio,"&lt;="&amp;$F52,b_Plano,"*")+SUMIFS(b_Total,b_Tipo,"Quarterly",b_Renov,"No",b_Inicio,"&lt;="&amp;$F52,b_Inicio,"&gt;"&amp;EDATE($F52,-m_Quarterly),b_Plano,"*"))/m_Quarterly+(SUMIFS(b_Total,b_Tipo,"Annual",b_Renov,"Yes",b_Inicio,"&lt;="&amp;$F52,b_Plano,"*")+SUMIFS(b_Total,b_Tipo,"Annual",b_Renov,"No",b_Inicio,"&lt;="&amp;$F52,b_Inicio,"&gt;"&amp;EDATE($F52,-m_Annual),b_Plano,"*"))/m_Annual</f>
        <v>1423.8333333333333</v>
      </c>
      <c r="H52" s="16">
        <f>(SUMIFS(b_Total,b_Tipo,"Monthly",b_Renov,"Yes",b_Inicio,"&lt;="&amp;$F52,b_Plano,"*"))/m_Monthly+(SUMIFS(b_Total,b_Tipo,"Quarterly",b_Renov,"Yes",b_Inicio,"&lt;="&amp;$F52,b_Plano,"*"))/m_Quarterly+(SUMIFS(b_Total,b_Tipo,"Annual",b_Renov,"Yes",b_Inicio,"&lt;="&amp;$F52,b_Plano,"*"))/m_Annual</f>
        <v>1015.75</v>
      </c>
      <c r="I52" s="16">
        <f>(SUMIFS(b_Total,b_Tipo,"Monthly",b_Renov,"No",b_Inicio,"&lt;="&amp;$F52,b_Inicio,"&gt;"&amp;EDATE($F52,-m_Monthly),b_Plano,"*"))/m_Monthly+(SUMIFS(b_Total,b_Tipo,"Quarterly",b_Renov,"No",b_Inicio,"&lt;="&amp;$F52,b_Inicio,"&gt;"&amp;EDATE($F52,-m_Quarterly),b_Plano,"*"))/m_Quarterly+(SUMIFS(b_Total,b_Tipo,"Annual",b_Renov,"No",b_Inicio,"&lt;="&amp;$F52,b_Inicio,"&gt;"&amp;EDATE($F52,-m_Annual),b_Plano,"*"))/m_Annual</f>
        <v>408.08333333333331</v>
      </c>
      <c r="J52" s="16">
        <f>G52*12</f>
        <v>17086</v>
      </c>
      <c r="K52" s="14">
        <f>(COUNTIFS(b_Tipo,"Monthly",b_Renov,"Yes",b_Inicio,"&lt;="&amp;$F52,b_Plano,"*")+COUNTIFS(b_Tipo,"Monthly",b_Renov,"No",b_Inicio,"&lt;="&amp;$F52,b_Inicio,"&gt;"&amp;EDATE($F52,-m_Monthly),b_Plano,"*"))+(COUNTIFS(b_Tipo,"Quarterly",b_Renov,"Yes",b_Inicio,"&lt;="&amp;$F52,b_Plano,"*")+COUNTIFS(b_Tipo,"Quarterly",b_Renov,"No",b_Inicio,"&lt;="&amp;$F52,b_Inicio,"&gt;"&amp;EDATE($F52,-m_Quarterly),b_Plano,"*"))+(COUNTIFS(b_Tipo,"Annual",b_Renov,"Yes",b_Inicio,"&lt;="&amp;$F52,b_Plano,"*")+COUNTIFS(b_Tipo,"Annual",b_Renov,"No",b_Inicio,"&lt;="&amp;$F52,b_Inicio,"&gt;"&amp;EDATE($F52,-m_Annual),b_Plano,"*"))</f>
        <v>128</v>
      </c>
      <c r="L52" s="14">
        <f>COUNTIFS(b_Inicio,"&gt;="&amp;E52,b_Inicio,"&lt;="&amp;$F52,b_Tipo,"*")</f>
        <v>31</v>
      </c>
      <c r="M52" s="27">
        <f>IFERROR(G52/G51-1,0)</f>
        <v>7.0283137058381184E-2</v>
      </c>
      <c r="O52" s="30"/>
      <c r="P52" s="30"/>
      <c r="Q52" s="30"/>
      <c r="R52" s="30"/>
      <c r="S52" s="30"/>
      <c r="U52" s="23">
        <f>EDATE(U51,1)</f>
        <v>45505</v>
      </c>
      <c r="V52" s="24">
        <f>MIN(EOMONTH(U52,0),ref_Date)</f>
        <v>45535</v>
      </c>
      <c r="W52" s="16">
        <f>(SUMIFS(b_Total,b_Tipo,"Monthly",b_Renov,"Yes",b_Inicio,"&lt;="&amp;$V52,b_Plano,"*")+SUMIFS(b_Total,b_Tipo,"Monthly",b_Renov,"No",b_Inicio,"&lt;="&amp;$V52,b_Inicio,"&gt;"&amp;EDATE($V52,-m_Monthly),b_Plano,"*"))/m_Monthly</f>
        <v>914</v>
      </c>
      <c r="X52" s="16">
        <f>(SUMIFS(b_Total,b_Tipo,"Monthly",b_Renov,"Yes",b_Inicio,"&lt;="&amp;$V52,b_Plano,"*"))/m_Monthly</f>
        <v>637</v>
      </c>
      <c r="Y52" s="16">
        <f>(SUMIFS(b_Total,b_Tipo,"Monthly",b_Renov,"No",b_Inicio,"&lt;="&amp;$V52,b_Inicio,"&gt;"&amp;EDATE($V52,-m_Monthly),b_Plano,"*"))/m_Monthly</f>
        <v>277</v>
      </c>
      <c r="Z52" s="16">
        <f>W52*12</f>
        <v>10968</v>
      </c>
      <c r="AA52" s="14">
        <f>(COUNTIFS(b_Tipo,"Monthly",b_Renov,"Yes",b_Inicio,"&lt;="&amp;$V52,b_Plano,"*")+COUNTIFS(b_Tipo,"Monthly",b_Renov,"No",b_Inicio,"&lt;="&amp;$V52,b_Inicio,"&gt;"&amp;EDATE($V52,-m_Monthly),b_Plano,"*"))</f>
        <v>36</v>
      </c>
      <c r="AB52" s="14">
        <f>COUNTIFS(b_Inicio,"&gt;="&amp;U52,b_Inicio,"&lt;="&amp;$V52,b_Tipo,"Monthly")</f>
        <v>14</v>
      </c>
      <c r="AC52" s="27">
        <f>IFERROR(W52/W51-1,0)</f>
        <v>5.9096176129779909E-2</v>
      </c>
      <c r="AE52" s="30"/>
      <c r="AF52" s="30"/>
      <c r="AG52" s="30"/>
      <c r="AH52" s="30"/>
      <c r="AI52" s="30"/>
      <c r="AK52" s="23">
        <f>EDATE(AK51,1)</f>
        <v>45505</v>
      </c>
      <c r="AL52" s="24">
        <f>MIN(EOMONTH(AK52,0),ref_Date)</f>
        <v>45535</v>
      </c>
      <c r="AM52" s="16">
        <f>(SUMIFS(b_Total,b_Tipo,"Quarterly",b_Renov,"Yes",b_Inicio,"&lt;="&amp;$AL52,b_Plano,"*")+SUMIFS(b_Total,b_Tipo,"Quarterly",b_Renov,"No",b_Inicio,"&lt;="&amp;$AL52,b_Inicio,"&gt;"&amp;EDATE($AL52,-m_Quarterly),b_Plano,"*"))/m_Quarterly</f>
        <v>421</v>
      </c>
      <c r="AN52" s="16">
        <f>(SUMIFS(b_Total,b_Tipo,"Quarterly",b_Renov,"Yes",b_Inicio,"&lt;="&amp;$AL52,b_Plano,"*"))/m_Quarterly</f>
        <v>308</v>
      </c>
      <c r="AO52" s="16">
        <f>(SUMIFS(b_Total,b_Tipo,"Quarterly",b_Renov,"No",b_Inicio,"&lt;="&amp;$AL52,b_Inicio,"&gt;"&amp;EDATE($AL52,-m_Quarterly),b_Plano,"*"))/m_Quarterly</f>
        <v>113</v>
      </c>
      <c r="AP52" s="16">
        <f>AM52*12</f>
        <v>5052</v>
      </c>
      <c r="AQ52" s="14">
        <f>(COUNTIFS(b_Tipo,"Quarterly",b_Renov,"Yes",b_Inicio,"&lt;="&amp;$AL52,b_Plano,"*")+COUNTIFS(b_Tipo,"Quarterly",b_Renov,"No",b_Inicio,"&lt;="&amp;$AL52,b_Inicio,"&gt;"&amp;EDATE($AL52,-m_Quarterly),b_Plano,"*"))</f>
        <v>47</v>
      </c>
      <c r="AR52" s="14">
        <f>COUNTIFS(b_Inicio,"&gt;="&amp;AK52,b_Inicio,"&lt;="&amp;$AL52,b_Tipo,"Quarterly")</f>
        <v>9</v>
      </c>
      <c r="AS52" s="27">
        <f>IFERROR(AM52/AM51-1,0)</f>
        <v>5.6020066889632014E-2</v>
      </c>
      <c r="AU52" s="30"/>
      <c r="AV52" s="30"/>
      <c r="AW52" s="30"/>
      <c r="AX52" s="30"/>
      <c r="AY52" s="30"/>
      <c r="BA52" s="23">
        <f>EDATE(BA51,1)</f>
        <v>45505</v>
      </c>
      <c r="BB52" s="24">
        <f>MIN(EOMONTH(BA52,0),ref_Date)</f>
        <v>45535</v>
      </c>
      <c r="BC52" s="16">
        <f>(SUMIFS(b_Total,b_Tipo,"Annual",b_Renov,"Yes",b_Inicio,"&lt;="&amp;$BB52,b_Plano,"*")+SUMIFS(b_Total,b_Tipo,"Annual",b_Renov,"No",b_Inicio,"&lt;="&amp;$BB52,b_Inicio,"&gt;"&amp;EDATE($BB52,-m_Annual),b_Plano,"*"))/m_Annual</f>
        <v>88.833333333333329</v>
      </c>
      <c r="BD52" s="16">
        <f>(SUMIFS(b_Total,b_Tipo,"Annual",b_Renov,"Yes",b_Inicio,"&lt;="&amp;$BB52,b_Plano,"*"))/m_Annual</f>
        <v>70.75</v>
      </c>
      <c r="BE52" s="16">
        <f>(SUMIFS(b_Total,b_Tipo,"Annual",b_Renov,"No",b_Inicio,"&lt;="&amp;$BB52,b_Inicio,"&gt;"&amp;EDATE($BB52,-m_Annual),b_Plano,"*"))/m_Annual</f>
        <v>18.083333333333332</v>
      </c>
      <c r="BF52" s="16">
        <f>BC52*12</f>
        <v>1066</v>
      </c>
      <c r="BG52" s="14">
        <f>(COUNTIFS(b_Tipo,"Annual",b_Renov,"Yes",b_Inicio,"&lt;="&amp;$BB52,b_Plano,"*")+COUNTIFS(b_Tipo,"Annual",b_Renov,"No",b_Inicio,"&lt;="&amp;$BB52,b_Inicio,"&gt;"&amp;EDATE($BB52,-m_Annual),b_Plano,"*"))</f>
        <v>45</v>
      </c>
      <c r="BH52" s="14">
        <f>COUNTIFS(b_Inicio,"&gt;="&amp;BA52,b_Inicio,"&lt;="&amp;$BB52,b_Tipo,"Annual")</f>
        <v>8</v>
      </c>
      <c r="BI52" s="27">
        <f>IFERROR(BC52/BC51-1,0)</f>
        <v>0.29368932038834927</v>
      </c>
      <c r="BK52" s="30"/>
      <c r="BL52" s="30"/>
      <c r="BM52" s="30"/>
      <c r="BN52" s="30"/>
      <c r="BO52" s="30"/>
    </row>
    <row r="53" spans="5:67">
      <c r="E53" s="23">
        <f>EDATE(E52,1)</f>
        <v>45536</v>
      </c>
      <c r="F53" s="24">
        <f>MIN(EOMONTH(E53,0),ref_Date)</f>
        <v>45565</v>
      </c>
      <c r="G53" s="16">
        <f>(SUMIFS(b_Total,b_Tipo,"Monthly",b_Renov,"Yes",b_Inicio,"&lt;="&amp;$F53,b_Plano,"*")+SUMIFS(b_Total,b_Tipo,"Monthly",b_Renov,"No",b_Inicio,"&lt;="&amp;$F53,b_Inicio,"&gt;"&amp;EDATE($F53,-m_Monthly),b_Plano,"*"))/m_Monthly+(SUMIFS(b_Total,b_Tipo,"Quarterly",b_Renov,"Yes",b_Inicio,"&lt;="&amp;$F53,b_Plano,"*")+SUMIFS(b_Total,b_Tipo,"Quarterly",b_Renov,"No",b_Inicio,"&lt;="&amp;$F53,b_Inicio,"&gt;"&amp;EDATE($F53,-m_Quarterly),b_Plano,"*"))/m_Quarterly+(SUMIFS(b_Total,b_Tipo,"Annual",b_Renov,"Yes",b_Inicio,"&lt;="&amp;$F53,b_Plano,"*")+SUMIFS(b_Total,b_Tipo,"Annual",b_Renov,"No",b_Inicio,"&lt;="&amp;$F53,b_Inicio,"&gt;"&amp;EDATE($F53,-m_Annual),b_Plano,"*"))/m_Annual</f>
        <v>1541</v>
      </c>
      <c r="H53" s="16">
        <f>(SUMIFS(b_Total,b_Tipo,"Monthly",b_Renov,"Yes",b_Inicio,"&lt;="&amp;$F53,b_Plano,"*"))/m_Monthly+(SUMIFS(b_Total,b_Tipo,"Quarterly",b_Renov,"Yes",b_Inicio,"&lt;="&amp;$F53,b_Plano,"*"))/m_Quarterly+(SUMIFS(b_Total,b_Tipo,"Annual",b_Renov,"Yes",b_Inicio,"&lt;="&amp;$F53,b_Plano,"*"))/m_Annual</f>
        <v>1138.9166666666667</v>
      </c>
      <c r="I53" s="16">
        <f>(SUMIFS(b_Total,b_Tipo,"Monthly",b_Renov,"No",b_Inicio,"&lt;="&amp;$F53,b_Inicio,"&gt;"&amp;EDATE($F53,-m_Monthly),b_Plano,"*"))/m_Monthly+(SUMIFS(b_Total,b_Tipo,"Quarterly",b_Renov,"No",b_Inicio,"&lt;="&amp;$F53,b_Inicio,"&gt;"&amp;EDATE($F53,-m_Quarterly),b_Plano,"*"))/m_Quarterly+(SUMIFS(b_Total,b_Tipo,"Annual",b_Renov,"No",b_Inicio,"&lt;="&amp;$F53,b_Inicio,"&gt;"&amp;EDATE($F53,-m_Annual),b_Plano,"*"))/m_Annual</f>
        <v>402.08333333333331</v>
      </c>
      <c r="J53" s="16">
        <f>G53*12</f>
        <v>18492</v>
      </c>
      <c r="K53" s="14">
        <f>(COUNTIFS(b_Tipo,"Monthly",b_Renov,"Yes",b_Inicio,"&lt;="&amp;$F53,b_Plano,"*")+COUNTIFS(b_Tipo,"Monthly",b_Renov,"No",b_Inicio,"&lt;="&amp;$F53,b_Inicio,"&gt;"&amp;EDATE($F53,-m_Monthly),b_Plano,"*"))+(COUNTIFS(b_Tipo,"Quarterly",b_Renov,"Yes",b_Inicio,"&lt;="&amp;$F53,b_Plano,"*")+COUNTIFS(b_Tipo,"Quarterly",b_Renov,"No",b_Inicio,"&lt;="&amp;$F53,b_Inicio,"&gt;"&amp;EDATE($F53,-m_Quarterly),b_Plano,"*"))+(COUNTIFS(b_Tipo,"Annual",b_Renov,"Yes",b_Inicio,"&lt;="&amp;$F53,b_Plano,"*")+COUNTIFS(b_Tipo,"Annual",b_Renov,"No",b_Inicio,"&lt;="&amp;$F53,b_Inicio,"&gt;"&amp;EDATE($F53,-m_Annual),b_Plano,"*"))</f>
        <v>142</v>
      </c>
      <c r="L53" s="14">
        <f>COUNTIFS(b_Inicio,"&gt;="&amp;E53,b_Inicio,"&lt;="&amp;$F53,b_Tipo,"*")</f>
        <v>30</v>
      </c>
      <c r="M53" s="27">
        <f>IFERROR(G53/G52-1,0)</f>
        <v>8.2289593819501405E-2</v>
      </c>
      <c r="O53" s="30"/>
      <c r="P53" s="30"/>
      <c r="Q53" s="30"/>
      <c r="R53" s="30"/>
      <c r="S53" s="30"/>
      <c r="U53" s="23">
        <f>EDATE(U52,1)</f>
        <v>45536</v>
      </c>
      <c r="V53" s="24">
        <f>MIN(EOMONTH(U53,0),ref_Date)</f>
        <v>45565</v>
      </c>
      <c r="W53" s="16">
        <f>(SUMIFS(b_Total,b_Tipo,"Monthly",b_Renov,"Yes",b_Inicio,"&lt;="&amp;$V53,b_Plano,"*")+SUMIFS(b_Total,b_Tipo,"Monthly",b_Renov,"No",b_Inicio,"&lt;="&amp;$V53,b_Inicio,"&gt;"&amp;EDATE($V53,-m_Monthly),b_Plano,"*"))/m_Monthly</f>
        <v>969</v>
      </c>
      <c r="X53" s="16">
        <f>(SUMIFS(b_Total,b_Tipo,"Monthly",b_Renov,"Yes",b_Inicio,"&lt;="&amp;$V53,b_Plano,"*"))/m_Monthly</f>
        <v>692</v>
      </c>
      <c r="Y53" s="16">
        <f>(SUMIFS(b_Total,b_Tipo,"Monthly",b_Renov,"No",b_Inicio,"&lt;="&amp;$V53,b_Inicio,"&gt;"&amp;EDATE($V53,-m_Monthly),b_Plano,"*"))/m_Monthly</f>
        <v>277</v>
      </c>
      <c r="Z53" s="16">
        <f>W53*12</f>
        <v>11628</v>
      </c>
      <c r="AA53" s="14">
        <f>(COUNTIFS(b_Tipo,"Monthly",b_Renov,"Yes",b_Inicio,"&lt;="&amp;$V53,b_Plano,"*")+COUNTIFS(b_Tipo,"Monthly",b_Renov,"No",b_Inicio,"&lt;="&amp;$V53,b_Inicio,"&gt;"&amp;EDATE($V53,-m_Monthly),b_Plano,"*"))</f>
        <v>38</v>
      </c>
      <c r="AB53" s="14">
        <f>COUNTIFS(b_Inicio,"&gt;="&amp;U53,b_Inicio,"&lt;="&amp;$V53,b_Tipo,"Monthly")</f>
        <v>14</v>
      </c>
      <c r="AC53" s="27">
        <f>IFERROR(W53/W52-1,0)</f>
        <v>6.0175054704595166E-2</v>
      </c>
      <c r="AE53" s="30"/>
      <c r="AF53" s="30"/>
      <c r="AG53" s="30"/>
      <c r="AH53" s="30"/>
      <c r="AI53" s="30"/>
      <c r="AK53" s="23">
        <f>EDATE(AK52,1)</f>
        <v>45536</v>
      </c>
      <c r="AL53" s="24">
        <f>MIN(EOMONTH(AK53,0),ref_Date)</f>
        <v>45565</v>
      </c>
      <c r="AM53" s="16">
        <f>(SUMIFS(b_Total,b_Tipo,"Quarterly",b_Renov,"Yes",b_Inicio,"&lt;="&amp;$AL53,b_Plano,"*")+SUMIFS(b_Total,b_Tipo,"Quarterly",b_Renov,"No",b_Inicio,"&lt;="&amp;$AL53,b_Inicio,"&gt;"&amp;EDATE($AL53,-m_Quarterly),b_Plano,"*"))/m_Quarterly</f>
        <v>468</v>
      </c>
      <c r="AN53" s="16">
        <f>(SUMIFS(b_Total,b_Tipo,"Quarterly",b_Renov,"Yes",b_Inicio,"&lt;="&amp;$AL53,b_Plano,"*"))/m_Quarterly</f>
        <v>361</v>
      </c>
      <c r="AO53" s="16">
        <f>(SUMIFS(b_Total,b_Tipo,"Quarterly",b_Renov,"No",b_Inicio,"&lt;="&amp;$AL53,b_Inicio,"&gt;"&amp;EDATE($AL53,-m_Quarterly),b_Plano,"*"))/m_Quarterly</f>
        <v>107</v>
      </c>
      <c r="AP53" s="16">
        <f>AM53*12</f>
        <v>5616</v>
      </c>
      <c r="AQ53" s="14">
        <f>(COUNTIFS(b_Tipo,"Quarterly",b_Renov,"Yes",b_Inicio,"&lt;="&amp;$AL53,b_Plano,"*")+COUNTIFS(b_Tipo,"Quarterly",b_Renov,"No",b_Inicio,"&lt;="&amp;$AL53,b_Inicio,"&gt;"&amp;EDATE($AL53,-m_Quarterly),b_Plano,"*"))</f>
        <v>52</v>
      </c>
      <c r="AR53" s="14">
        <f>COUNTIFS(b_Inicio,"&gt;="&amp;AK53,b_Inicio,"&lt;="&amp;$AL53,b_Tipo,"Quarterly")</f>
        <v>9</v>
      </c>
      <c r="AS53" s="27">
        <f>IFERROR(AM53/AM52-1,0)</f>
        <v>0.1116389548693586</v>
      </c>
      <c r="AU53" s="30"/>
      <c r="AV53" s="30"/>
      <c r="AW53" s="30"/>
      <c r="AX53" s="30"/>
      <c r="AY53" s="30"/>
      <c r="BA53" s="23">
        <f>EDATE(BA52,1)</f>
        <v>45536</v>
      </c>
      <c r="BB53" s="24">
        <f>MIN(EOMONTH(BA53,0),ref_Date)</f>
        <v>45565</v>
      </c>
      <c r="BC53" s="16">
        <f>(SUMIFS(b_Total,b_Tipo,"Annual",b_Renov,"Yes",b_Inicio,"&lt;="&amp;$BB53,b_Plano,"*")+SUMIFS(b_Total,b_Tipo,"Annual",b_Renov,"No",b_Inicio,"&lt;="&amp;$BB53,b_Inicio,"&gt;"&amp;EDATE($BB53,-m_Annual),b_Plano,"*"))/m_Annual</f>
        <v>104</v>
      </c>
      <c r="BD53" s="16">
        <f>(SUMIFS(b_Total,b_Tipo,"Annual",b_Renov,"Yes",b_Inicio,"&lt;="&amp;$BB53,b_Plano,"*"))/m_Annual</f>
        <v>85.916666666666671</v>
      </c>
      <c r="BE53" s="16">
        <f>(SUMIFS(b_Total,b_Tipo,"Annual",b_Renov,"No",b_Inicio,"&lt;="&amp;$BB53,b_Inicio,"&gt;"&amp;EDATE($BB53,-m_Annual),b_Plano,"*"))/m_Annual</f>
        <v>18.083333333333332</v>
      </c>
      <c r="BF53" s="16">
        <f>BC53*12</f>
        <v>1248</v>
      </c>
      <c r="BG53" s="14">
        <f>(COUNTIFS(b_Tipo,"Annual",b_Renov,"Yes",b_Inicio,"&lt;="&amp;$BB53,b_Plano,"*")+COUNTIFS(b_Tipo,"Annual",b_Renov,"No",b_Inicio,"&lt;="&amp;$BB53,b_Inicio,"&gt;"&amp;EDATE($BB53,-m_Annual),b_Plano,"*"))</f>
        <v>52</v>
      </c>
      <c r="BH53" s="14">
        <f>COUNTIFS(b_Inicio,"&gt;="&amp;BA53,b_Inicio,"&lt;="&amp;$BB53,b_Tipo,"Annual")</f>
        <v>7</v>
      </c>
      <c r="BI53" s="27">
        <f>IFERROR(BC53/BC52-1,0)</f>
        <v>0.17073170731707332</v>
      </c>
      <c r="BK53" s="30"/>
      <c r="BL53" s="30"/>
      <c r="BM53" s="30"/>
      <c r="BN53" s="30"/>
      <c r="BO53" s="30"/>
    </row>
    <row r="54" spans="5:67">
      <c r="E54" s="23">
        <f>EDATE(E53,1)</f>
        <v>45566</v>
      </c>
      <c r="F54" s="24">
        <f>MIN(EOMONTH(E54,0),ref_Date)</f>
        <v>45596</v>
      </c>
      <c r="G54" s="16">
        <f>(SUMIFS(b_Total,b_Tipo,"Monthly",b_Renov,"Yes",b_Inicio,"&lt;="&amp;$F54,b_Plano,"*")+SUMIFS(b_Total,b_Tipo,"Monthly",b_Renov,"No",b_Inicio,"&lt;="&amp;$F54,b_Inicio,"&gt;"&amp;EDATE($F54,-m_Monthly),b_Plano,"*"))/m_Monthly+(SUMIFS(b_Total,b_Tipo,"Quarterly",b_Renov,"Yes",b_Inicio,"&lt;="&amp;$F54,b_Plano,"*")+SUMIFS(b_Total,b_Tipo,"Quarterly",b_Renov,"No",b_Inicio,"&lt;="&amp;$F54,b_Inicio,"&gt;"&amp;EDATE($F54,-m_Quarterly),b_Plano,"*"))/m_Quarterly+(SUMIFS(b_Total,b_Tipo,"Annual",b_Renov,"Yes",b_Inicio,"&lt;="&amp;$F54,b_Plano,"*")+SUMIFS(b_Total,b_Tipo,"Annual",b_Renov,"No",b_Inicio,"&lt;="&amp;$F54,b_Inicio,"&gt;"&amp;EDATE($F54,-m_Annual),b_Plano,"*"))/m_Annual</f>
        <v>1748.8333333333335</v>
      </c>
      <c r="H54" s="16">
        <f>(SUMIFS(b_Total,b_Tipo,"Monthly",b_Renov,"Yes",b_Inicio,"&lt;="&amp;$F54,b_Plano,"*"))/m_Monthly+(SUMIFS(b_Total,b_Tipo,"Quarterly",b_Renov,"Yes",b_Inicio,"&lt;="&amp;$F54,b_Plano,"*"))/m_Quarterly+(SUMIFS(b_Total,b_Tipo,"Annual",b_Renov,"Yes",b_Inicio,"&lt;="&amp;$F54,b_Plano,"*"))/m_Annual</f>
        <v>1226.4166666666665</v>
      </c>
      <c r="I54" s="16">
        <f>(SUMIFS(b_Total,b_Tipo,"Monthly",b_Renov,"No",b_Inicio,"&lt;="&amp;$F54,b_Inicio,"&gt;"&amp;EDATE($F54,-m_Monthly),b_Plano,"*"))/m_Monthly+(SUMIFS(b_Total,b_Tipo,"Quarterly",b_Renov,"No",b_Inicio,"&lt;="&amp;$F54,b_Inicio,"&gt;"&amp;EDATE($F54,-m_Quarterly),b_Plano,"*"))/m_Quarterly+(SUMIFS(b_Total,b_Tipo,"Annual",b_Renov,"No",b_Inicio,"&lt;="&amp;$F54,b_Inicio,"&gt;"&amp;EDATE($F54,-m_Annual),b_Plano,"*"))/m_Annual</f>
        <v>522.41666666666663</v>
      </c>
      <c r="J54" s="16">
        <f>G54*12</f>
        <v>20986</v>
      </c>
      <c r="K54" s="14">
        <f>(COUNTIFS(b_Tipo,"Monthly",b_Renov,"Yes",b_Inicio,"&lt;="&amp;$F54,b_Plano,"*")+COUNTIFS(b_Tipo,"Monthly",b_Renov,"No",b_Inicio,"&lt;="&amp;$F54,b_Inicio,"&gt;"&amp;EDATE($F54,-m_Monthly),b_Plano,"*"))+(COUNTIFS(b_Tipo,"Quarterly",b_Renov,"Yes",b_Inicio,"&lt;="&amp;$F54,b_Plano,"*")+COUNTIFS(b_Tipo,"Quarterly",b_Renov,"No",b_Inicio,"&lt;="&amp;$F54,b_Inicio,"&gt;"&amp;EDATE($F54,-m_Quarterly),b_Plano,"*"))+(COUNTIFS(b_Tipo,"Annual",b_Renov,"Yes",b_Inicio,"&lt;="&amp;$F54,b_Plano,"*")+COUNTIFS(b_Tipo,"Annual",b_Renov,"No",b_Inicio,"&lt;="&amp;$F54,b_Inicio,"&gt;"&amp;EDATE($F54,-m_Annual),b_Plano,"*"))</f>
        <v>158</v>
      </c>
      <c r="L54" s="14">
        <f>COUNTIFS(b_Inicio,"&gt;="&amp;E54,b_Inicio,"&lt;="&amp;$F54,b_Tipo,"*")</f>
        <v>31</v>
      </c>
      <c r="M54" s="27">
        <f>IFERROR(G54/G53-1,0)</f>
        <v>0.13486913259788036</v>
      </c>
      <c r="U54" s="23">
        <f>EDATE(U53,1)</f>
        <v>45566</v>
      </c>
      <c r="V54" s="24">
        <f>MIN(EOMONTH(U54,0),ref_Date)</f>
        <v>45596</v>
      </c>
      <c r="W54" s="16">
        <f>(SUMIFS(b_Total,b_Tipo,"Monthly",b_Renov,"Yes",b_Inicio,"&lt;="&amp;$V54,b_Plano,"*")+SUMIFS(b_Total,b_Tipo,"Monthly",b_Renov,"No",b_Inicio,"&lt;="&amp;$V54,b_Inicio,"&gt;"&amp;EDATE($V54,-m_Monthly),b_Plano,"*"))/m_Monthly</f>
        <v>1125</v>
      </c>
      <c r="X54" s="16">
        <f>(SUMIFS(b_Total,b_Tipo,"Monthly",b_Renov,"Yes",b_Inicio,"&lt;="&amp;$V54,b_Plano,"*"))/m_Monthly</f>
        <v>692</v>
      </c>
      <c r="Y54" s="16">
        <f>(SUMIFS(b_Total,b_Tipo,"Monthly",b_Renov,"No",b_Inicio,"&lt;="&amp;$V54,b_Inicio,"&gt;"&amp;EDATE($V54,-m_Monthly),b_Plano,"*"))/m_Monthly</f>
        <v>433</v>
      </c>
      <c r="Z54" s="16">
        <f>W54*12</f>
        <v>13500</v>
      </c>
      <c r="AA54" s="14">
        <f>(COUNTIFS(b_Tipo,"Monthly",b_Renov,"Yes",b_Inicio,"&lt;="&amp;$V54,b_Plano,"*")+COUNTIFS(b_Tipo,"Monthly",b_Renov,"No",b_Inicio,"&lt;="&amp;$V54,b_Inicio,"&gt;"&amp;EDATE($V54,-m_Monthly),b_Plano,"*"))</f>
        <v>42</v>
      </c>
      <c r="AB54" s="14">
        <f>COUNTIFS(b_Inicio,"&gt;="&amp;U54,b_Inicio,"&lt;="&amp;$V54,b_Tipo,"Monthly")</f>
        <v>16</v>
      </c>
      <c r="AC54" s="27">
        <f>IFERROR(W54/W53-1,0)</f>
        <v>0.16099071207430349</v>
      </c>
      <c r="AK54" s="23">
        <f>EDATE(AK53,1)</f>
        <v>45566</v>
      </c>
      <c r="AL54" s="24">
        <f>MIN(EOMONTH(AK54,0),ref_Date)</f>
        <v>45596</v>
      </c>
      <c r="AM54" s="16">
        <f>(SUMIFS(b_Total,b_Tipo,"Quarterly",b_Renov,"Yes",b_Inicio,"&lt;="&amp;$AL54,b_Plano,"*")+SUMIFS(b_Total,b_Tipo,"Quarterly",b_Renov,"No",b_Inicio,"&lt;="&amp;$AL54,b_Inicio,"&gt;"&amp;EDATE($AL54,-m_Quarterly),b_Plano,"*"))/m_Quarterly</f>
        <v>504.66666666666669</v>
      </c>
      <c r="AN54" s="16">
        <f>(SUMIFS(b_Total,b_Tipo,"Quarterly",b_Renov,"Yes",b_Inicio,"&lt;="&amp;$AL54,b_Plano,"*"))/m_Quarterly</f>
        <v>433.33333333333331</v>
      </c>
      <c r="AO54" s="16">
        <f>(SUMIFS(b_Total,b_Tipo,"Quarterly",b_Renov,"No",b_Inicio,"&lt;="&amp;$AL54,b_Inicio,"&gt;"&amp;EDATE($AL54,-m_Quarterly),b_Plano,"*"))/m_Quarterly</f>
        <v>71.333333333333329</v>
      </c>
      <c r="AP54" s="16">
        <f>AM54*12</f>
        <v>6056</v>
      </c>
      <c r="AQ54" s="14">
        <f>(COUNTIFS(b_Tipo,"Quarterly",b_Renov,"Yes",b_Inicio,"&lt;="&amp;$AL54,b_Plano,"*")+COUNTIFS(b_Tipo,"Quarterly",b_Renov,"No",b_Inicio,"&lt;="&amp;$AL54,b_Inicio,"&gt;"&amp;EDATE($AL54,-m_Quarterly),b_Plano,"*"))</f>
        <v>56</v>
      </c>
      <c r="AR54" s="14">
        <f>COUNTIFS(b_Inicio,"&gt;="&amp;AK54,b_Inicio,"&lt;="&amp;$AL54,b_Tipo,"Quarterly")</f>
        <v>7</v>
      </c>
      <c r="AS54" s="27">
        <f>IFERROR(AM54/AM53-1,0)</f>
        <v>7.8347578347578439E-2</v>
      </c>
      <c r="BA54" s="23">
        <f>EDATE(BA53,1)</f>
        <v>45566</v>
      </c>
      <c r="BB54" s="24">
        <f>MIN(EOMONTH(BA54,0),ref_Date)</f>
        <v>45596</v>
      </c>
      <c r="BC54" s="16">
        <f>(SUMIFS(b_Total,b_Tipo,"Annual",b_Renov,"Yes",b_Inicio,"&lt;="&amp;$BB54,b_Plano,"*")+SUMIFS(b_Total,b_Tipo,"Annual",b_Renov,"No",b_Inicio,"&lt;="&amp;$BB54,b_Inicio,"&gt;"&amp;EDATE($BB54,-m_Annual),b_Plano,"*"))/m_Annual</f>
        <v>119.16666666666667</v>
      </c>
      <c r="BD54" s="16">
        <f>(SUMIFS(b_Total,b_Tipo,"Annual",b_Renov,"Yes",b_Inicio,"&lt;="&amp;$BB54,b_Plano,"*"))/m_Annual</f>
        <v>101.08333333333333</v>
      </c>
      <c r="BE54" s="16">
        <f>(SUMIFS(b_Total,b_Tipo,"Annual",b_Renov,"No",b_Inicio,"&lt;="&amp;$BB54,b_Inicio,"&gt;"&amp;EDATE($BB54,-m_Annual),b_Plano,"*"))/m_Annual</f>
        <v>18.083333333333332</v>
      </c>
      <c r="BF54" s="16">
        <f>BC54*12</f>
        <v>1430</v>
      </c>
      <c r="BG54" s="14">
        <f>(COUNTIFS(b_Tipo,"Annual",b_Renov,"Yes",b_Inicio,"&lt;="&amp;$BB54,b_Plano,"*")+COUNTIFS(b_Tipo,"Annual",b_Renov,"No",b_Inicio,"&lt;="&amp;$BB54,b_Inicio,"&gt;"&amp;EDATE($BB54,-m_Annual),b_Plano,"*"))</f>
        <v>60</v>
      </c>
      <c r="BH54" s="14">
        <f>COUNTIFS(b_Inicio,"&gt;="&amp;BA54,b_Inicio,"&lt;="&amp;$BB54,b_Tipo,"Annual")</f>
        <v>8</v>
      </c>
      <c r="BI54" s="27">
        <f>IFERROR(BC54/BC53-1,0)</f>
        <v>0.14583333333333348</v>
      </c>
    </row>
    <row r="55" spans="5:67">
      <c r="E55" s="23">
        <f>EDATE(E54,1)</f>
        <v>45597</v>
      </c>
      <c r="F55" s="24">
        <f>MIN(EOMONTH(E55,0),ref_Date)</f>
        <v>45626</v>
      </c>
      <c r="G55" s="16">
        <f>(SUMIFS(b_Total,b_Tipo,"Monthly",b_Renov,"Yes",b_Inicio,"&lt;="&amp;$F55,b_Plano,"*")+SUMIFS(b_Total,b_Tipo,"Monthly",b_Renov,"No",b_Inicio,"&lt;="&amp;$F55,b_Inicio,"&gt;"&amp;EDATE($F55,-m_Monthly),b_Plano,"*"))/m_Monthly+(SUMIFS(b_Total,b_Tipo,"Quarterly",b_Renov,"Yes",b_Inicio,"&lt;="&amp;$F55,b_Plano,"*")+SUMIFS(b_Total,b_Tipo,"Quarterly",b_Renov,"No",b_Inicio,"&lt;="&amp;$F55,b_Inicio,"&gt;"&amp;EDATE($F55,-m_Quarterly),b_Plano,"*"))/m_Quarterly+(SUMIFS(b_Total,b_Tipo,"Annual",b_Renov,"Yes",b_Inicio,"&lt;="&amp;$F55,b_Plano,"*")+SUMIFS(b_Total,b_Tipo,"Annual",b_Renov,"No",b_Inicio,"&lt;="&amp;$F55,b_Inicio,"&gt;"&amp;EDATE($F55,-m_Annual),b_Plano,"*"))/m_Annual</f>
        <v>1750.5833333333335</v>
      </c>
      <c r="H55" s="16">
        <f>(SUMIFS(b_Total,b_Tipo,"Monthly",b_Renov,"Yes",b_Inicio,"&lt;="&amp;$F55,b_Plano,"*"))/m_Monthly+(SUMIFS(b_Total,b_Tipo,"Quarterly",b_Renov,"Yes",b_Inicio,"&lt;="&amp;$F55,b_Plano,"*"))/m_Quarterly+(SUMIFS(b_Total,b_Tipo,"Annual",b_Renov,"Yes",b_Inicio,"&lt;="&amp;$F55,b_Plano,"*"))/m_Annual</f>
        <v>1339.1666666666667</v>
      </c>
      <c r="I55" s="16">
        <f>(SUMIFS(b_Total,b_Tipo,"Monthly",b_Renov,"No",b_Inicio,"&lt;="&amp;$F55,b_Inicio,"&gt;"&amp;EDATE($F55,-m_Monthly),b_Plano,"*"))/m_Monthly+(SUMIFS(b_Total,b_Tipo,"Quarterly",b_Renov,"No",b_Inicio,"&lt;="&amp;$F55,b_Inicio,"&gt;"&amp;EDATE($F55,-m_Quarterly),b_Plano,"*"))/m_Quarterly+(SUMIFS(b_Total,b_Tipo,"Annual",b_Renov,"No",b_Inicio,"&lt;="&amp;$F55,b_Inicio,"&gt;"&amp;EDATE($F55,-m_Annual),b_Plano,"*"))/m_Annual</f>
        <v>411.41666666666663</v>
      </c>
      <c r="J55" s="16">
        <f>G55*12</f>
        <v>21007</v>
      </c>
      <c r="K55" s="14">
        <f>(COUNTIFS(b_Tipo,"Monthly",b_Renov,"Yes",b_Inicio,"&lt;="&amp;$F55,b_Plano,"*")+COUNTIFS(b_Tipo,"Monthly",b_Renov,"No",b_Inicio,"&lt;="&amp;$F55,b_Inicio,"&gt;"&amp;EDATE($F55,-m_Monthly),b_Plano,"*"))+(COUNTIFS(b_Tipo,"Quarterly",b_Renov,"Yes",b_Inicio,"&lt;="&amp;$F55,b_Plano,"*")+COUNTIFS(b_Tipo,"Quarterly",b_Renov,"No",b_Inicio,"&lt;="&amp;$F55,b_Inicio,"&gt;"&amp;EDATE($F55,-m_Quarterly),b_Plano,"*"))+(COUNTIFS(b_Tipo,"Annual",b_Renov,"Yes",b_Inicio,"&lt;="&amp;$F55,b_Plano,"*")+COUNTIFS(b_Tipo,"Annual",b_Renov,"No",b_Inicio,"&lt;="&amp;$F55,b_Inicio,"&gt;"&amp;EDATE($F55,-m_Annual),b_Plano,"*"))</f>
        <v>170</v>
      </c>
      <c r="L55" s="14">
        <f>COUNTIFS(b_Inicio,"&gt;="&amp;E55,b_Inicio,"&lt;="&amp;$F55,b_Tipo,"*")</f>
        <v>30</v>
      </c>
      <c r="M55" s="27">
        <f>IFERROR(G55/G54-1,0)</f>
        <v>1.0006671114075605E-3</v>
      </c>
      <c r="U55" s="23">
        <f>EDATE(U54,1)</f>
        <v>45597</v>
      </c>
      <c r="V55" s="24">
        <f>MIN(EOMONTH(U55,0),ref_Date)</f>
        <v>45626</v>
      </c>
      <c r="W55" s="16">
        <f>(SUMIFS(b_Total,b_Tipo,"Monthly",b_Renov,"Yes",b_Inicio,"&lt;="&amp;$V55,b_Plano,"*")+SUMIFS(b_Total,b_Tipo,"Monthly",b_Renov,"No",b_Inicio,"&lt;="&amp;$V55,b_Inicio,"&gt;"&amp;EDATE($V55,-m_Monthly),b_Plano,"*"))/m_Monthly</f>
        <v>1069</v>
      </c>
      <c r="X55" s="16">
        <f>(SUMIFS(b_Total,b_Tipo,"Monthly",b_Renov,"Yes",b_Inicio,"&lt;="&amp;$V55,b_Plano,"*"))/m_Monthly</f>
        <v>747</v>
      </c>
      <c r="Y55" s="16">
        <f>(SUMIFS(b_Total,b_Tipo,"Monthly",b_Renov,"No",b_Inicio,"&lt;="&amp;$V55,b_Inicio,"&gt;"&amp;EDATE($V55,-m_Monthly),b_Plano,"*"))/m_Monthly</f>
        <v>322</v>
      </c>
      <c r="Z55" s="16">
        <f>W55*12</f>
        <v>12828</v>
      </c>
      <c r="AA55" s="14">
        <f>(COUNTIFS(b_Tipo,"Monthly",b_Renov,"Yes",b_Inicio,"&lt;="&amp;$V55,b_Plano,"*")+COUNTIFS(b_Tipo,"Monthly",b_Renov,"No",b_Inicio,"&lt;="&amp;$V55,b_Inicio,"&gt;"&amp;EDATE($V55,-m_Monthly),b_Plano,"*"))</f>
        <v>41</v>
      </c>
      <c r="AB55" s="14">
        <f>COUNTIFS(b_Inicio,"&gt;="&amp;U55,b_Inicio,"&lt;="&amp;$V55,b_Tipo,"Monthly")</f>
        <v>14</v>
      </c>
      <c r="AC55" s="27">
        <f>IFERROR(W55/W54-1,0)</f>
        <v>-4.977777777777781E-2</v>
      </c>
      <c r="AK55" s="23">
        <f>EDATE(AK54,1)</f>
        <v>45597</v>
      </c>
      <c r="AL55" s="24">
        <f>MIN(EOMONTH(AK55,0),ref_Date)</f>
        <v>45626</v>
      </c>
      <c r="AM55" s="16">
        <f>(SUMIFS(b_Total,b_Tipo,"Quarterly",b_Renov,"Yes",b_Inicio,"&lt;="&amp;$AL55,b_Plano,"*")+SUMIFS(b_Total,b_Tipo,"Quarterly",b_Renov,"No",b_Inicio,"&lt;="&amp;$AL55,b_Inicio,"&gt;"&amp;EDATE($AL55,-m_Quarterly),b_Plano,"*"))/m_Quarterly</f>
        <v>543.33333333333337</v>
      </c>
      <c r="AN55" s="16">
        <f>(SUMIFS(b_Total,b_Tipo,"Quarterly",b_Renov,"Yes",b_Inicio,"&lt;="&amp;$AL55,b_Plano,"*"))/m_Quarterly</f>
        <v>472</v>
      </c>
      <c r="AO55" s="16">
        <f>(SUMIFS(b_Total,b_Tipo,"Quarterly",b_Renov,"No",b_Inicio,"&lt;="&amp;$AL55,b_Inicio,"&gt;"&amp;EDATE($AL55,-m_Quarterly),b_Plano,"*"))/m_Quarterly</f>
        <v>71.333333333333329</v>
      </c>
      <c r="AP55" s="16">
        <f>AM55*12</f>
        <v>6520</v>
      </c>
      <c r="AQ55" s="14">
        <f>(COUNTIFS(b_Tipo,"Quarterly",b_Renov,"Yes",b_Inicio,"&lt;="&amp;$AL55,b_Plano,"*")+COUNTIFS(b_Tipo,"Quarterly",b_Renov,"No",b_Inicio,"&lt;="&amp;$AL55,b_Inicio,"&gt;"&amp;EDATE($AL55,-m_Quarterly),b_Plano,"*"))</f>
        <v>62</v>
      </c>
      <c r="AR55" s="14">
        <f>COUNTIFS(b_Inicio,"&gt;="&amp;AK55,b_Inicio,"&lt;="&amp;$AL55,b_Tipo,"Quarterly")</f>
        <v>9</v>
      </c>
      <c r="AS55" s="27">
        <f>IFERROR(AM55/AM54-1,0)</f>
        <v>7.6618229854689579E-2</v>
      </c>
      <c r="BA55" s="23">
        <f>EDATE(BA54,1)</f>
        <v>45597</v>
      </c>
      <c r="BB55" s="24">
        <f>MIN(EOMONTH(BA55,0),ref_Date)</f>
        <v>45626</v>
      </c>
      <c r="BC55" s="16">
        <f>(SUMIFS(b_Total,b_Tipo,"Annual",b_Renov,"Yes",b_Inicio,"&lt;="&amp;$BB55,b_Plano,"*")+SUMIFS(b_Total,b_Tipo,"Annual",b_Renov,"No",b_Inicio,"&lt;="&amp;$BB55,b_Inicio,"&gt;"&amp;EDATE($BB55,-m_Annual),b_Plano,"*"))/m_Annual</f>
        <v>138.25</v>
      </c>
      <c r="BD55" s="16">
        <f>(SUMIFS(b_Total,b_Tipo,"Annual",b_Renov,"Yes",b_Inicio,"&lt;="&amp;$BB55,b_Plano,"*"))/m_Annual</f>
        <v>120.16666666666667</v>
      </c>
      <c r="BE55" s="16">
        <f>(SUMIFS(b_Total,b_Tipo,"Annual",b_Renov,"No",b_Inicio,"&lt;="&amp;$BB55,b_Inicio,"&gt;"&amp;EDATE($BB55,-m_Annual),b_Plano,"*"))/m_Annual</f>
        <v>18.083333333333332</v>
      </c>
      <c r="BF55" s="16">
        <f>BC55*12</f>
        <v>1659</v>
      </c>
      <c r="BG55" s="14">
        <f>(COUNTIFS(b_Tipo,"Annual",b_Renov,"Yes",b_Inicio,"&lt;="&amp;$BB55,b_Plano,"*")+COUNTIFS(b_Tipo,"Annual",b_Renov,"No",b_Inicio,"&lt;="&amp;$BB55,b_Inicio,"&gt;"&amp;EDATE($BB55,-m_Annual),b_Plano,"*"))</f>
        <v>67</v>
      </c>
      <c r="BH55" s="14">
        <f>COUNTIFS(b_Inicio,"&gt;="&amp;BA55,b_Inicio,"&lt;="&amp;$BB55,b_Tipo,"Annual")</f>
        <v>7</v>
      </c>
      <c r="BI55" s="27">
        <f>IFERROR(BC55/BC54-1,0)</f>
        <v>0.16013986013986004</v>
      </c>
    </row>
    <row r="56" spans="5:67">
      <c r="E56" s="23">
        <f>EDATE(E55,1)</f>
        <v>45627</v>
      </c>
      <c r="F56" s="24">
        <f>MIN(EOMONTH(E56,0),ref_Date)</f>
        <v>45642</v>
      </c>
      <c r="G56" s="16">
        <f>(SUMIFS(b_Total,b_Tipo,"Monthly",b_Renov,"Yes",b_Inicio,"&lt;="&amp;$F56,b_Plano,"*")+SUMIFS(b_Total,b_Tipo,"Monthly",b_Renov,"No",b_Inicio,"&lt;="&amp;$F56,b_Inicio,"&gt;"&amp;EDATE($F56,-m_Monthly),b_Plano,"*"))/m_Monthly+(SUMIFS(b_Total,b_Tipo,"Quarterly",b_Renov,"Yes",b_Inicio,"&lt;="&amp;$F56,b_Plano,"*")+SUMIFS(b_Total,b_Tipo,"Quarterly",b_Renov,"No",b_Inicio,"&lt;="&amp;$F56,b_Inicio,"&gt;"&amp;EDATE($F56,-m_Quarterly),b_Plano,"*"))/m_Quarterly+(SUMIFS(b_Total,b_Tipo,"Annual",b_Renov,"Yes",b_Inicio,"&lt;="&amp;$F56,b_Plano,"*")+SUMIFS(b_Total,b_Tipo,"Annual",b_Renov,"No",b_Inicio,"&lt;="&amp;$F56,b_Inicio,"&gt;"&amp;EDATE($F56,-m_Annual),b_Plano,"*"))/m_Annual</f>
        <v>1848.1666666666667</v>
      </c>
      <c r="H56" s="16">
        <f>(SUMIFS(b_Total,b_Tipo,"Monthly",b_Renov,"Yes",b_Inicio,"&lt;="&amp;$F56,b_Plano,"*"))/m_Monthly+(SUMIFS(b_Total,b_Tipo,"Quarterly",b_Renov,"Yes",b_Inicio,"&lt;="&amp;$F56,b_Plano,"*"))/m_Quarterly+(SUMIFS(b_Total,b_Tipo,"Annual",b_Renov,"Yes",b_Inicio,"&lt;="&amp;$F56,b_Plano,"*"))/m_Annual</f>
        <v>1375.75</v>
      </c>
      <c r="I56" s="16">
        <f>(SUMIFS(b_Total,b_Tipo,"Monthly",b_Renov,"No",b_Inicio,"&lt;="&amp;$F56,b_Inicio,"&gt;"&amp;EDATE($F56,-m_Monthly),b_Plano,"*"))/m_Monthly+(SUMIFS(b_Total,b_Tipo,"Quarterly",b_Renov,"No",b_Inicio,"&lt;="&amp;$F56,b_Inicio,"&gt;"&amp;EDATE($F56,-m_Quarterly),b_Plano,"*"))/m_Quarterly+(SUMIFS(b_Total,b_Tipo,"Annual",b_Renov,"No",b_Inicio,"&lt;="&amp;$F56,b_Inicio,"&gt;"&amp;EDATE($F56,-m_Annual),b_Plano,"*"))/m_Annual</f>
        <v>472.41666666666663</v>
      </c>
      <c r="J56" s="16">
        <f>G56*12</f>
        <v>22178</v>
      </c>
      <c r="K56" s="14">
        <f>(COUNTIFS(b_Tipo,"Monthly",b_Renov,"Yes",b_Inicio,"&lt;="&amp;$F56,b_Plano,"*")+COUNTIFS(b_Tipo,"Monthly",b_Renov,"No",b_Inicio,"&lt;="&amp;$F56,b_Inicio,"&gt;"&amp;EDATE($F56,-m_Monthly),b_Plano,"*"))+(COUNTIFS(b_Tipo,"Quarterly",b_Renov,"Yes",b_Inicio,"&lt;="&amp;$F56,b_Plano,"*")+COUNTIFS(b_Tipo,"Quarterly",b_Renov,"No",b_Inicio,"&lt;="&amp;$F56,b_Inicio,"&gt;"&amp;EDATE($F56,-m_Quarterly),b_Plano,"*"))+(COUNTIFS(b_Tipo,"Annual",b_Renov,"Yes",b_Inicio,"&lt;="&amp;$F56,b_Plano,"*")+COUNTIFS(b_Tipo,"Annual",b_Renov,"No",b_Inicio,"&lt;="&amp;$F56,b_Inicio,"&gt;"&amp;EDATE($F56,-m_Annual),b_Plano,"*"))</f>
        <v>180</v>
      </c>
      <c r="L56" s="14">
        <f>COUNTIFS(b_Inicio,"&gt;="&amp;E56,b_Inicio,"&lt;="&amp;$F56,b_Tipo,"*")</f>
        <v>16</v>
      </c>
      <c r="M56" s="27">
        <f>IFERROR(G56/G55-1,0)</f>
        <v>5.5743323654020127E-2</v>
      </c>
      <c r="U56" s="23">
        <f>EDATE(U55,1)</f>
        <v>45627</v>
      </c>
      <c r="V56" s="24">
        <f>MIN(EOMONTH(U56,0),ref_Date)</f>
        <v>45642</v>
      </c>
      <c r="W56" s="16">
        <f>(SUMIFS(b_Total,b_Tipo,"Monthly",b_Renov,"Yes",b_Inicio,"&lt;="&amp;$V56,b_Plano,"*")+SUMIFS(b_Total,b_Tipo,"Monthly",b_Renov,"No",b_Inicio,"&lt;="&amp;$V56,b_Inicio,"&gt;"&amp;EDATE($V56,-m_Monthly),b_Plano,"*"))/m_Monthly</f>
        <v>1130</v>
      </c>
      <c r="X56" s="16">
        <f>(SUMIFS(b_Total,b_Tipo,"Monthly",b_Renov,"Yes",b_Inicio,"&lt;="&amp;$V56,b_Plano,"*"))/m_Monthly</f>
        <v>747</v>
      </c>
      <c r="Y56" s="16">
        <f>(SUMIFS(b_Total,b_Tipo,"Monthly",b_Renov,"No",b_Inicio,"&lt;="&amp;$V56,b_Inicio,"&gt;"&amp;EDATE($V56,-m_Monthly),b_Plano,"*"))/m_Monthly</f>
        <v>383</v>
      </c>
      <c r="Z56" s="16">
        <f>W56*12</f>
        <v>13560</v>
      </c>
      <c r="AA56" s="14">
        <f>(COUNTIFS(b_Tipo,"Monthly",b_Renov,"Yes",b_Inicio,"&lt;="&amp;$V56,b_Plano,"*")+COUNTIFS(b_Tipo,"Monthly",b_Renov,"No",b_Inicio,"&lt;="&amp;$V56,b_Inicio,"&gt;"&amp;EDATE($V56,-m_Monthly),b_Plano,"*"))</f>
        <v>43</v>
      </c>
      <c r="AB56" s="14">
        <f>COUNTIFS(b_Inicio,"&gt;="&amp;U56,b_Inicio,"&lt;="&amp;$V56,b_Tipo,"Monthly")</f>
        <v>8</v>
      </c>
      <c r="AC56" s="27">
        <f>IFERROR(W56/W55-1,0)</f>
        <v>5.7062675397567819E-2</v>
      </c>
      <c r="AK56" s="23">
        <f>EDATE(AK55,1)</f>
        <v>45627</v>
      </c>
      <c r="AL56" s="24">
        <f>MIN(EOMONTH(AK56,0),ref_Date)</f>
        <v>45642</v>
      </c>
      <c r="AM56" s="16">
        <f>(SUMIFS(b_Total,b_Tipo,"Quarterly",b_Renov,"Yes",b_Inicio,"&lt;="&amp;$AL56,b_Plano,"*")+SUMIFS(b_Total,b_Tipo,"Quarterly",b_Renov,"No",b_Inicio,"&lt;="&amp;$AL56,b_Inicio,"&gt;"&amp;EDATE($AL56,-m_Quarterly),b_Plano,"*"))/m_Quarterly</f>
        <v>572</v>
      </c>
      <c r="AN56" s="16">
        <f>(SUMIFS(b_Total,b_Tipo,"Quarterly",b_Renov,"Yes",b_Inicio,"&lt;="&amp;$AL56,b_Plano,"*"))/m_Quarterly</f>
        <v>500.66666666666669</v>
      </c>
      <c r="AO56" s="16">
        <f>(SUMIFS(b_Total,b_Tipo,"Quarterly",b_Renov,"No",b_Inicio,"&lt;="&amp;$AL56,b_Inicio,"&gt;"&amp;EDATE($AL56,-m_Quarterly),b_Plano,"*"))/m_Quarterly</f>
        <v>71.333333333333329</v>
      </c>
      <c r="AP56" s="16">
        <f>AM56*12</f>
        <v>6864</v>
      </c>
      <c r="AQ56" s="14">
        <f>(COUNTIFS(b_Tipo,"Quarterly",b_Renov,"Yes",b_Inicio,"&lt;="&amp;$AL56,b_Plano,"*")+COUNTIFS(b_Tipo,"Quarterly",b_Renov,"No",b_Inicio,"&lt;="&amp;$AL56,b_Inicio,"&gt;"&amp;EDATE($AL56,-m_Quarterly),b_Plano,"*"))</f>
        <v>66</v>
      </c>
      <c r="AR56" s="14">
        <f>COUNTIFS(b_Inicio,"&gt;="&amp;AK56,b_Inicio,"&lt;="&amp;$AL56,b_Tipo,"Quarterly")</f>
        <v>4</v>
      </c>
      <c r="AS56" s="27">
        <f>IFERROR(AM56/AM55-1,0)</f>
        <v>5.2760736196318936E-2</v>
      </c>
      <c r="BA56" s="23">
        <f>EDATE(BA55,1)</f>
        <v>45627</v>
      </c>
      <c r="BB56" s="24">
        <f>MIN(EOMONTH(BA56,0),ref_Date)</f>
        <v>45642</v>
      </c>
      <c r="BC56" s="16">
        <f>(SUMIFS(b_Total,b_Tipo,"Annual",b_Renov,"Yes",b_Inicio,"&lt;="&amp;$BB56,b_Plano,"*")+SUMIFS(b_Total,b_Tipo,"Annual",b_Renov,"No",b_Inicio,"&lt;="&amp;$BB56,b_Inicio,"&gt;"&amp;EDATE($BB56,-m_Annual),b_Plano,"*"))/m_Annual</f>
        <v>146.16666666666666</v>
      </c>
      <c r="BD56" s="16">
        <f>(SUMIFS(b_Total,b_Tipo,"Annual",b_Renov,"Yes",b_Inicio,"&lt;="&amp;$BB56,b_Plano,"*"))/m_Annual</f>
        <v>128.08333333333334</v>
      </c>
      <c r="BE56" s="16">
        <f>(SUMIFS(b_Total,b_Tipo,"Annual",b_Renov,"No",b_Inicio,"&lt;="&amp;$BB56,b_Inicio,"&gt;"&amp;EDATE($BB56,-m_Annual),b_Plano,"*"))/m_Annual</f>
        <v>18.083333333333332</v>
      </c>
      <c r="BF56" s="16">
        <f>BC56*12</f>
        <v>1754</v>
      </c>
      <c r="BG56" s="14">
        <f>(COUNTIFS(b_Tipo,"Annual",b_Renov,"Yes",b_Inicio,"&lt;="&amp;$BB56,b_Plano,"*")+COUNTIFS(b_Tipo,"Annual",b_Renov,"No",b_Inicio,"&lt;="&amp;$BB56,b_Inicio,"&gt;"&amp;EDATE($BB56,-m_Annual),b_Plano,"*"))</f>
        <v>71</v>
      </c>
      <c r="BH56" s="14">
        <f>COUNTIFS(b_Inicio,"&gt;="&amp;BA56,b_Inicio,"&lt;="&amp;$BB56,b_Tipo,"Annual")</f>
        <v>4</v>
      </c>
      <c r="BI56" s="27">
        <f>IFERROR(BC56/BC55-1,0)</f>
        <v>5.7263411693791344E-2</v>
      </c>
    </row>
  </sheetData>
  <mergeCells count="234">
    <mergeCell ref="B35:C37"/>
    <mergeCell ref="AU11:AY12"/>
    <mergeCell ref="BD8:BF8"/>
    <mergeCell ref="AA5:AC5"/>
    <mergeCell ref="AU23:AV23"/>
    <mergeCell ref="AK15:AM15"/>
    <mergeCell ref="AQ6:AS7"/>
    <mergeCell ref="AP3:AQ3"/>
    <mergeCell ref="BA21:BB21"/>
    <mergeCell ref="X5:Z5"/>
    <mergeCell ref="W3:X3"/>
    <mergeCell ref="H5:J5"/>
    <mergeCell ref="E3:F3"/>
    <mergeCell ref="E18:I18"/>
    <mergeCell ref="AW3:AY3"/>
    <mergeCell ref="B9:C10"/>
    <mergeCell ref="B33:C34"/>
    <mergeCell ref="AK24:AL24"/>
    <mergeCell ref="AE23:AF23"/>
    <mergeCell ref="Z18:AD18"/>
    <mergeCell ref="AE15:AG15"/>
    <mergeCell ref="AK21:AL21"/>
    <mergeCell ref="AK8:AM8"/>
    <mergeCell ref="B30:C32"/>
    <mergeCell ref="E23:F23"/>
    <mergeCell ref="BM6:BO7"/>
    <mergeCell ref="E15:G15"/>
    <mergeCell ref="BJ8:BL8"/>
    <mergeCell ref="BA23:BB23"/>
    <mergeCell ref="BA15:BC15"/>
    <mergeCell ref="AT6:AV7"/>
    <mergeCell ref="AC15:AD15"/>
    <mergeCell ref="O11:S12"/>
    <mergeCell ref="U8:W8"/>
    <mergeCell ref="O13:S14"/>
    <mergeCell ref="E16:G16"/>
    <mergeCell ref="M16:N16"/>
    <mergeCell ref="H6:J7"/>
    <mergeCell ref="BJ6:BL7"/>
    <mergeCell ref="AD6:AF7"/>
    <mergeCell ref="X15:Y15"/>
    <mergeCell ref="AS16:AT16"/>
    <mergeCell ref="Z11:AD12"/>
    <mergeCell ref="H15:I15"/>
    <mergeCell ref="E22:F22"/>
    <mergeCell ref="AE16:AG16"/>
    <mergeCell ref="O51:S53"/>
    <mergeCell ref="K5:M5"/>
    <mergeCell ref="AX15:AY15"/>
    <mergeCell ref="BK20:BL20"/>
    <mergeCell ref="U20:V20"/>
    <mergeCell ref="AU43:AY43"/>
    <mergeCell ref="BA8:BC8"/>
    <mergeCell ref="BK51:BO53"/>
    <mergeCell ref="AK23:AL23"/>
    <mergeCell ref="AU18:AY18"/>
    <mergeCell ref="BM8:BO8"/>
    <mergeCell ref="J15:L15"/>
    <mergeCell ref="BK22:BL22"/>
    <mergeCell ref="U22:V22"/>
    <mergeCell ref="Q5:S5"/>
    <mergeCell ref="AE51:AI53"/>
    <mergeCell ref="U43:AC43"/>
    <mergeCell ref="BA43:BI43"/>
    <mergeCell ref="BA10:BO10"/>
    <mergeCell ref="AU24:AV24"/>
    <mergeCell ref="U2:AI2"/>
    <mergeCell ref="E10:S10"/>
    <mergeCell ref="AK5:AM5"/>
    <mergeCell ref="AU20:AV20"/>
    <mergeCell ref="BN16:BO16"/>
    <mergeCell ref="AE22:AF22"/>
    <mergeCell ref="N8:P8"/>
    <mergeCell ref="E11:I12"/>
    <mergeCell ref="AW5:AY5"/>
    <mergeCell ref="K6:M7"/>
    <mergeCell ref="K8:M8"/>
    <mergeCell ref="J16:L16"/>
    <mergeCell ref="R16:S16"/>
    <mergeCell ref="AE21:AF21"/>
    <mergeCell ref="U6:W7"/>
    <mergeCell ref="AQ5:AS5"/>
    <mergeCell ref="BA5:BC5"/>
    <mergeCell ref="E2:S2"/>
    <mergeCell ref="AG6:AI7"/>
    <mergeCell ref="BM5:BO5"/>
    <mergeCell ref="AE11:AI12"/>
    <mergeCell ref="AN8:AP8"/>
    <mergeCell ref="AA6:AC7"/>
    <mergeCell ref="Z3:AA3"/>
    <mergeCell ref="BK43:BO43"/>
    <mergeCell ref="Q3:S3"/>
    <mergeCell ref="U16:W16"/>
    <mergeCell ref="AE20:AF20"/>
    <mergeCell ref="AT5:AV5"/>
    <mergeCell ref="AK11:AO12"/>
    <mergeCell ref="AN15:AO15"/>
    <mergeCell ref="B15:C16"/>
    <mergeCell ref="AK19:AL19"/>
    <mergeCell ref="O18:S18"/>
    <mergeCell ref="AQ8:AS8"/>
    <mergeCell ref="AU19:AV19"/>
    <mergeCell ref="BG6:BI7"/>
    <mergeCell ref="AK13:AO14"/>
    <mergeCell ref="BD16:BE16"/>
    <mergeCell ref="BA24:BB24"/>
    <mergeCell ref="BK24:BL24"/>
    <mergeCell ref="U24:V24"/>
    <mergeCell ref="AG8:AI8"/>
    <mergeCell ref="J3:K3"/>
    <mergeCell ref="E13:I14"/>
    <mergeCell ref="O15:Q15"/>
    <mergeCell ref="AD5:AF5"/>
    <mergeCell ref="BA11:BE12"/>
    <mergeCell ref="E20:F20"/>
    <mergeCell ref="AE18:AI18"/>
    <mergeCell ref="AE43:AI43"/>
    <mergeCell ref="X16:Y16"/>
    <mergeCell ref="Z13:AD14"/>
    <mergeCell ref="AU51:AY53"/>
    <mergeCell ref="BA22:BB22"/>
    <mergeCell ref="AK10:AY10"/>
    <mergeCell ref="M3:O3"/>
    <mergeCell ref="BA19:BB19"/>
    <mergeCell ref="AN16:AO16"/>
    <mergeCell ref="AG3:AI3"/>
    <mergeCell ref="AS3:AU3"/>
    <mergeCell ref="U3:V3"/>
    <mergeCell ref="BA3:BB3"/>
    <mergeCell ref="AN5:AP5"/>
    <mergeCell ref="E8:G8"/>
    <mergeCell ref="BA13:BE14"/>
    <mergeCell ref="BD6:BF7"/>
    <mergeCell ref="Q8:S8"/>
    <mergeCell ref="U19:V19"/>
    <mergeCell ref="J11:N12"/>
    <mergeCell ref="N6:P7"/>
    <mergeCell ref="AA8:AC8"/>
    <mergeCell ref="B26:C29"/>
    <mergeCell ref="BA18:BE18"/>
    <mergeCell ref="M15:N15"/>
    <mergeCell ref="AP16:AR16"/>
    <mergeCell ref="O43:S43"/>
    <mergeCell ref="H16:I16"/>
    <mergeCell ref="U21:V21"/>
    <mergeCell ref="AG5:AI5"/>
    <mergeCell ref="BF11:BJ12"/>
    <mergeCell ref="X6:Z7"/>
    <mergeCell ref="Z15:AB15"/>
    <mergeCell ref="AH15:AI15"/>
    <mergeCell ref="AX16:AY16"/>
    <mergeCell ref="U10:AI10"/>
    <mergeCell ref="J13:N14"/>
    <mergeCell ref="AK22:AL22"/>
    <mergeCell ref="E6:G7"/>
    <mergeCell ref="AU22:AV22"/>
    <mergeCell ref="BA20:BB20"/>
    <mergeCell ref="BF13:BJ14"/>
    <mergeCell ref="E5:G5"/>
    <mergeCell ref="AK43:AS43"/>
    <mergeCell ref="E21:F21"/>
    <mergeCell ref="AK18:AO18"/>
    <mergeCell ref="AK2:AY2"/>
    <mergeCell ref="AW6:AY7"/>
    <mergeCell ref="H8:J8"/>
    <mergeCell ref="BI15:BJ15"/>
    <mergeCell ref="AD8:AF8"/>
    <mergeCell ref="E43:M43"/>
    <mergeCell ref="U11:Y12"/>
    <mergeCell ref="BK23:BL23"/>
    <mergeCell ref="B12:C13"/>
    <mergeCell ref="Q6:S7"/>
    <mergeCell ref="J18:N18"/>
    <mergeCell ref="E24:F24"/>
    <mergeCell ref="N5:P5"/>
    <mergeCell ref="B6:C7"/>
    <mergeCell ref="O16:Q16"/>
    <mergeCell ref="R15:S15"/>
    <mergeCell ref="E19:F19"/>
    <mergeCell ref="BK11:BO12"/>
    <mergeCell ref="BN15:BO15"/>
    <mergeCell ref="G3:H3"/>
    <mergeCell ref="BA16:BC16"/>
    <mergeCell ref="AK20:AL20"/>
    <mergeCell ref="AP13:AT14"/>
    <mergeCell ref="U5:W5"/>
    <mergeCell ref="BM3:BO3"/>
    <mergeCell ref="U15:W15"/>
    <mergeCell ref="AU13:AY14"/>
    <mergeCell ref="BA6:BC7"/>
    <mergeCell ref="BF16:BH16"/>
    <mergeCell ref="BK15:BM15"/>
    <mergeCell ref="AE24:AF24"/>
    <mergeCell ref="BA2:BO2"/>
    <mergeCell ref="AS15:AT15"/>
    <mergeCell ref="AT8:AV8"/>
    <mergeCell ref="U13:Y14"/>
    <mergeCell ref="AP18:AT18"/>
    <mergeCell ref="AU15:AW15"/>
    <mergeCell ref="AC16:AD16"/>
    <mergeCell ref="AE13:AI14"/>
    <mergeCell ref="BK21:BL21"/>
    <mergeCell ref="BD5:BF5"/>
    <mergeCell ref="AP11:AT12"/>
    <mergeCell ref="BF3:BG3"/>
    <mergeCell ref="BF18:BJ18"/>
    <mergeCell ref="AK3:AL3"/>
    <mergeCell ref="AN6:AP7"/>
    <mergeCell ref="AP15:AR15"/>
    <mergeCell ref="AU16:AW16"/>
    <mergeCell ref="AM3:AN3"/>
    <mergeCell ref="U23:V23"/>
    <mergeCell ref="AH16:AI16"/>
    <mergeCell ref="X8:Z8"/>
    <mergeCell ref="AU21:AV21"/>
    <mergeCell ref="AC3:AE3"/>
    <mergeCell ref="AK6:AM7"/>
    <mergeCell ref="BG5:BI5"/>
    <mergeCell ref="Z16:AB16"/>
    <mergeCell ref="BI3:BK3"/>
    <mergeCell ref="AK16:AM16"/>
    <mergeCell ref="BF15:BH15"/>
    <mergeCell ref="BC3:BD3"/>
    <mergeCell ref="BK18:BO18"/>
    <mergeCell ref="BK16:BM16"/>
    <mergeCell ref="BI16:BJ16"/>
    <mergeCell ref="BK13:BO14"/>
    <mergeCell ref="BG8:BI8"/>
    <mergeCell ref="BK19:BL19"/>
    <mergeCell ref="BJ5:BL5"/>
    <mergeCell ref="AE19:AF19"/>
    <mergeCell ref="BD15:BE15"/>
    <mergeCell ref="U18:Y18"/>
    <mergeCell ref="AW8:AY8"/>
  </mergeCells>
  <conditionalFormatting sqref="G45:G56">
    <cfRule type="dataBar" priority="1">
      <dataBar>
        <cfvo type="num" val="0"/>
        <cfvo type="max"/>
        <color rgb="FF98967C"/>
      </dataBar>
    </cfRule>
  </conditionalFormatting>
  <conditionalFormatting sqref="W45:W56">
    <cfRule type="dataBar" priority="2">
      <dataBar>
        <cfvo type="num" val="0"/>
        <cfvo type="max"/>
        <color rgb="FF98967C"/>
      </dataBar>
    </cfRule>
  </conditionalFormatting>
  <conditionalFormatting sqref="AM45:AM56">
    <cfRule type="dataBar" priority="3">
      <dataBar>
        <cfvo type="num" val="0"/>
        <cfvo type="max"/>
        <color rgb="FF98967C"/>
      </dataBar>
    </cfRule>
  </conditionalFormatting>
  <conditionalFormatting sqref="BC45:BC56">
    <cfRule type="dataBar" priority="4">
      <dataBar>
        <cfvo type="num" val="0"/>
        <cfvo type="max"/>
        <color rgb="FF98967C"/>
      </dataBar>
    </cfRule>
  </conditionalFormatting>
  <hyperlinks>
    <hyperlink ref="B6" location="'Dashboard'!E1" display="Visão geral" xr:uid="{00000000-0004-0000-0000-000000000000}"/>
    <hyperlink ref="B9" location="'Dashboard'!U1" display="Monthly · mensal" xr:uid="{00000000-0004-0000-0000-000001000000}"/>
    <hyperlink ref="B12" location="'Dashboard'!AK1" display="Quarterly · trimestral" xr:uid="{00000000-0004-0000-0000-000002000000}"/>
    <hyperlink ref="B15" location="'Dashboard'!BA1" display="Annual · anual" xr:uid="{00000000-0004-0000-0000-000003000000}"/>
  </hyperlink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I2" sqref="I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customHeight="1">
      <c r="A1" s="2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57</v>
      </c>
      <c r="I1" s="2" t="s">
        <v>86</v>
      </c>
      <c r="J1" s="2" t="s">
        <v>61</v>
      </c>
      <c r="K1" s="2" t="s">
        <v>87</v>
      </c>
      <c r="L1" s="2" t="s">
        <v>88</v>
      </c>
      <c r="M1" s="2" t="s">
        <v>89</v>
      </c>
    </row>
    <row r="2" spans="1:13" ht="16.5" customHeight="1">
      <c r="A2" s="1">
        <v>3231</v>
      </c>
      <c r="B2" s="1" t="s">
        <v>90</v>
      </c>
      <c r="C2" s="1" t="s">
        <v>59</v>
      </c>
      <c r="D2" s="3">
        <v>45292</v>
      </c>
      <c r="E2" s="1" t="s">
        <v>91</v>
      </c>
      <c r="F2" s="12">
        <v>15</v>
      </c>
      <c r="G2" s="1" t="s">
        <v>52</v>
      </c>
      <c r="H2" s="1" t="s">
        <v>91</v>
      </c>
      <c r="I2" s="12">
        <v>30</v>
      </c>
      <c r="J2" s="1" t="s">
        <v>91</v>
      </c>
      <c r="K2" s="12">
        <v>20</v>
      </c>
      <c r="L2" s="12">
        <v>5</v>
      </c>
      <c r="M2" s="12">
        <v>60</v>
      </c>
    </row>
    <row r="3" spans="1:13" ht="16.5" hidden="1" customHeight="1">
      <c r="A3" s="1">
        <v>3232</v>
      </c>
      <c r="B3" s="1" t="s">
        <v>92</v>
      </c>
      <c r="C3" s="1" t="s">
        <v>51</v>
      </c>
      <c r="D3" s="3">
        <v>45306</v>
      </c>
      <c r="E3" s="1" t="s">
        <v>93</v>
      </c>
      <c r="F3" s="12">
        <v>5</v>
      </c>
      <c r="G3" s="1" t="s">
        <v>60</v>
      </c>
      <c r="H3" s="1" t="s">
        <v>93</v>
      </c>
      <c r="I3" s="12" t="s">
        <v>94</v>
      </c>
      <c r="J3" s="1" t="s">
        <v>93</v>
      </c>
      <c r="K3" s="12">
        <v>0</v>
      </c>
      <c r="L3" s="12">
        <v>0</v>
      </c>
      <c r="M3" s="12">
        <v>5</v>
      </c>
    </row>
    <row r="4" spans="1:13" ht="16.5" hidden="1" customHeight="1">
      <c r="A4" s="1">
        <v>3233</v>
      </c>
      <c r="B4" s="1" t="s">
        <v>95</v>
      </c>
      <c r="C4" s="1" t="s">
        <v>55</v>
      </c>
      <c r="D4" s="3">
        <v>45332</v>
      </c>
      <c r="E4" s="1" t="s">
        <v>91</v>
      </c>
      <c r="F4" s="12">
        <v>10</v>
      </c>
      <c r="G4" s="1" t="s">
        <v>56</v>
      </c>
      <c r="H4" s="1" t="s">
        <v>93</v>
      </c>
      <c r="I4" s="12" t="s">
        <v>94</v>
      </c>
      <c r="J4" s="1" t="s">
        <v>91</v>
      </c>
      <c r="K4" s="12">
        <v>20</v>
      </c>
      <c r="L4" s="12">
        <v>10</v>
      </c>
      <c r="M4" s="12">
        <v>20</v>
      </c>
    </row>
    <row r="5" spans="1:13" ht="16.5" customHeight="1">
      <c r="A5" s="1">
        <v>3234</v>
      </c>
      <c r="B5" s="1" t="s">
        <v>96</v>
      </c>
      <c r="C5" s="1" t="s">
        <v>59</v>
      </c>
      <c r="D5" s="3">
        <v>45342</v>
      </c>
      <c r="E5" s="1" t="s">
        <v>93</v>
      </c>
      <c r="F5" s="12">
        <v>15</v>
      </c>
      <c r="G5" s="1" t="s">
        <v>52</v>
      </c>
      <c r="H5" s="1" t="s">
        <v>91</v>
      </c>
      <c r="I5" s="12">
        <v>30</v>
      </c>
      <c r="J5" s="1" t="s">
        <v>91</v>
      </c>
      <c r="K5" s="12">
        <v>20</v>
      </c>
      <c r="L5" s="12">
        <v>3</v>
      </c>
      <c r="M5" s="12">
        <v>62</v>
      </c>
    </row>
    <row r="6" spans="1:13" ht="16.5" hidden="1" customHeight="1">
      <c r="A6" s="1">
        <v>3235</v>
      </c>
      <c r="B6" s="1" t="s">
        <v>97</v>
      </c>
      <c r="C6" s="1" t="s">
        <v>51</v>
      </c>
      <c r="D6" s="3">
        <v>45356</v>
      </c>
      <c r="E6" s="1" t="s">
        <v>91</v>
      </c>
      <c r="F6" s="12">
        <v>5</v>
      </c>
      <c r="G6" s="1" t="s">
        <v>52</v>
      </c>
      <c r="H6" s="1" t="s">
        <v>93</v>
      </c>
      <c r="I6" s="12" t="s">
        <v>94</v>
      </c>
      <c r="J6" s="1" t="s">
        <v>93</v>
      </c>
      <c r="K6" s="12">
        <v>0</v>
      </c>
      <c r="L6" s="12">
        <v>1</v>
      </c>
      <c r="M6" s="12">
        <v>4</v>
      </c>
    </row>
    <row r="7" spans="1:13" ht="16.5" hidden="1" customHeight="1">
      <c r="A7" s="1">
        <v>3236</v>
      </c>
      <c r="B7" s="1" t="s">
        <v>98</v>
      </c>
      <c r="C7" s="1" t="s">
        <v>55</v>
      </c>
      <c r="D7" s="3">
        <v>45353</v>
      </c>
      <c r="E7" s="1" t="s">
        <v>93</v>
      </c>
      <c r="F7" s="12">
        <v>10</v>
      </c>
      <c r="G7" s="1" t="s">
        <v>52</v>
      </c>
      <c r="H7" s="1" t="s">
        <v>93</v>
      </c>
      <c r="I7" s="12" t="s">
        <v>94</v>
      </c>
      <c r="J7" s="1" t="s">
        <v>91</v>
      </c>
      <c r="K7" s="12">
        <v>20</v>
      </c>
      <c r="L7" s="12">
        <v>2</v>
      </c>
      <c r="M7" s="12">
        <v>28</v>
      </c>
    </row>
    <row r="8" spans="1:13" ht="16.5" customHeight="1">
      <c r="A8" s="1">
        <v>3237</v>
      </c>
      <c r="B8" s="1" t="s">
        <v>99</v>
      </c>
      <c r="C8" s="1" t="s">
        <v>59</v>
      </c>
      <c r="D8" s="3">
        <v>45354</v>
      </c>
      <c r="E8" s="1" t="s">
        <v>91</v>
      </c>
      <c r="F8" s="12">
        <v>15</v>
      </c>
      <c r="G8" s="1" t="s">
        <v>56</v>
      </c>
      <c r="H8" s="1" t="s">
        <v>91</v>
      </c>
      <c r="I8" s="12">
        <v>30</v>
      </c>
      <c r="J8" s="1" t="s">
        <v>91</v>
      </c>
      <c r="K8" s="12">
        <v>20</v>
      </c>
      <c r="L8" s="12">
        <v>10</v>
      </c>
      <c r="M8" s="12">
        <v>55</v>
      </c>
    </row>
    <row r="9" spans="1:13" ht="16.5" hidden="1" customHeight="1">
      <c r="A9" s="1">
        <v>3238</v>
      </c>
      <c r="B9" s="1" t="s">
        <v>100</v>
      </c>
      <c r="C9" s="1" t="s">
        <v>51</v>
      </c>
      <c r="D9" s="3">
        <v>45355</v>
      </c>
      <c r="E9" s="1" t="s">
        <v>91</v>
      </c>
      <c r="F9" s="12">
        <v>5</v>
      </c>
      <c r="G9" s="1" t="s">
        <v>60</v>
      </c>
      <c r="H9" s="1" t="s">
        <v>93</v>
      </c>
      <c r="I9" s="12" t="s">
        <v>94</v>
      </c>
      <c r="J9" s="1" t="s">
        <v>93</v>
      </c>
      <c r="K9" s="12">
        <v>0</v>
      </c>
      <c r="L9" s="12">
        <v>0</v>
      </c>
      <c r="M9" s="12">
        <v>5</v>
      </c>
    </row>
    <row r="10" spans="1:13" ht="16.5" customHeight="1">
      <c r="A10" s="1">
        <v>3239</v>
      </c>
      <c r="B10" s="1" t="s">
        <v>101</v>
      </c>
      <c r="C10" s="1" t="s">
        <v>59</v>
      </c>
      <c r="D10" s="3">
        <v>45356</v>
      </c>
      <c r="E10" s="1" t="s">
        <v>93</v>
      </c>
      <c r="F10" s="12">
        <v>15</v>
      </c>
      <c r="G10" s="1" t="s">
        <v>52</v>
      </c>
      <c r="H10" s="1" t="s">
        <v>91</v>
      </c>
      <c r="I10" s="12">
        <v>30</v>
      </c>
      <c r="J10" s="1" t="s">
        <v>91</v>
      </c>
      <c r="K10" s="12">
        <v>20</v>
      </c>
      <c r="L10" s="12">
        <v>5</v>
      </c>
      <c r="M10" s="12">
        <v>60</v>
      </c>
    </row>
    <row r="11" spans="1:13" ht="16.5" hidden="1" customHeight="1">
      <c r="A11" s="1">
        <v>3240</v>
      </c>
      <c r="B11" s="1" t="s">
        <v>102</v>
      </c>
      <c r="C11" s="1" t="s">
        <v>55</v>
      </c>
      <c r="D11" s="3">
        <v>45357</v>
      </c>
      <c r="E11" s="1" t="s">
        <v>91</v>
      </c>
      <c r="F11" s="12">
        <v>10</v>
      </c>
      <c r="G11" s="1" t="s">
        <v>56</v>
      </c>
      <c r="H11" s="1" t="s">
        <v>93</v>
      </c>
      <c r="I11" s="12" t="s">
        <v>94</v>
      </c>
      <c r="J11" s="1" t="s">
        <v>91</v>
      </c>
      <c r="K11" s="12">
        <v>20</v>
      </c>
      <c r="L11" s="12">
        <v>15</v>
      </c>
      <c r="M11" s="12">
        <v>15</v>
      </c>
    </row>
    <row r="12" spans="1:13" ht="16.5" hidden="1" customHeight="1">
      <c r="A12" s="1">
        <v>3241</v>
      </c>
      <c r="B12" s="1" t="s">
        <v>103</v>
      </c>
      <c r="C12" s="1" t="s">
        <v>51</v>
      </c>
      <c r="D12" s="3">
        <v>45358</v>
      </c>
      <c r="E12" s="1" t="s">
        <v>93</v>
      </c>
      <c r="F12" s="12">
        <v>5</v>
      </c>
      <c r="G12" s="1" t="s">
        <v>52</v>
      </c>
      <c r="H12" s="1" t="s">
        <v>93</v>
      </c>
      <c r="I12" s="12" t="s">
        <v>94</v>
      </c>
      <c r="J12" s="1" t="s">
        <v>93</v>
      </c>
      <c r="K12" s="12">
        <v>0</v>
      </c>
      <c r="L12" s="12">
        <v>1</v>
      </c>
      <c r="M12" s="12">
        <v>4</v>
      </c>
    </row>
    <row r="13" spans="1:13" ht="16.5" customHeight="1">
      <c r="A13" s="1">
        <v>3242</v>
      </c>
      <c r="B13" s="1" t="s">
        <v>104</v>
      </c>
      <c r="C13" s="1" t="s">
        <v>59</v>
      </c>
      <c r="D13" s="3">
        <v>45359</v>
      </c>
      <c r="E13" s="1" t="s">
        <v>91</v>
      </c>
      <c r="F13" s="12">
        <v>15</v>
      </c>
      <c r="G13" s="1" t="s">
        <v>60</v>
      </c>
      <c r="H13" s="1" t="s">
        <v>91</v>
      </c>
      <c r="I13" s="12">
        <v>30</v>
      </c>
      <c r="J13" s="1" t="s">
        <v>91</v>
      </c>
      <c r="K13" s="12">
        <v>20</v>
      </c>
      <c r="L13" s="12">
        <v>20</v>
      </c>
      <c r="M13" s="12">
        <v>45</v>
      </c>
    </row>
    <row r="14" spans="1:13" ht="16.5" hidden="1" customHeight="1">
      <c r="A14" s="1">
        <v>3243</v>
      </c>
      <c r="B14" s="1" t="s">
        <v>105</v>
      </c>
      <c r="C14" s="1" t="s">
        <v>55</v>
      </c>
      <c r="D14" s="3">
        <v>45360</v>
      </c>
      <c r="E14" s="1" t="s">
        <v>93</v>
      </c>
      <c r="F14" s="12">
        <v>10</v>
      </c>
      <c r="G14" s="1" t="s">
        <v>52</v>
      </c>
      <c r="H14" s="1" t="s">
        <v>93</v>
      </c>
      <c r="I14" s="12" t="s">
        <v>94</v>
      </c>
      <c r="J14" s="1" t="s">
        <v>91</v>
      </c>
      <c r="K14" s="12">
        <v>20</v>
      </c>
      <c r="L14" s="12">
        <v>10</v>
      </c>
      <c r="M14" s="12">
        <v>20</v>
      </c>
    </row>
    <row r="15" spans="1:13" ht="16.5" hidden="1" customHeight="1">
      <c r="A15" s="1">
        <v>3244</v>
      </c>
      <c r="B15" s="1" t="s">
        <v>106</v>
      </c>
      <c r="C15" s="1" t="s">
        <v>51</v>
      </c>
      <c r="D15" s="3">
        <v>45361</v>
      </c>
      <c r="E15" s="1" t="s">
        <v>91</v>
      </c>
      <c r="F15" s="12">
        <v>5</v>
      </c>
      <c r="G15" s="1" t="s">
        <v>56</v>
      </c>
      <c r="H15" s="1" t="s">
        <v>93</v>
      </c>
      <c r="I15" s="12" t="s">
        <v>94</v>
      </c>
      <c r="J15" s="1" t="s">
        <v>93</v>
      </c>
      <c r="K15" s="12">
        <v>0</v>
      </c>
      <c r="L15" s="12">
        <v>0</v>
      </c>
      <c r="M15" s="12">
        <v>5</v>
      </c>
    </row>
    <row r="16" spans="1:13" ht="16.5" customHeight="1">
      <c r="A16" s="1">
        <v>3245</v>
      </c>
      <c r="B16" s="1" t="s">
        <v>107</v>
      </c>
      <c r="C16" s="1" t="s">
        <v>59</v>
      </c>
      <c r="D16" s="3">
        <v>45362</v>
      </c>
      <c r="E16" s="1" t="s">
        <v>93</v>
      </c>
      <c r="F16" s="12">
        <v>15</v>
      </c>
      <c r="G16" s="1" t="s">
        <v>52</v>
      </c>
      <c r="H16" s="1" t="s">
        <v>91</v>
      </c>
      <c r="I16" s="12">
        <v>30</v>
      </c>
      <c r="J16" s="1" t="s">
        <v>91</v>
      </c>
      <c r="K16" s="12">
        <v>20</v>
      </c>
      <c r="L16" s="12">
        <v>8</v>
      </c>
      <c r="M16" s="12">
        <v>57</v>
      </c>
    </row>
    <row r="17" spans="1:13" ht="16.5" hidden="1" customHeight="1">
      <c r="A17" s="1">
        <v>3246</v>
      </c>
      <c r="B17" s="1" t="s">
        <v>108</v>
      </c>
      <c r="C17" s="1" t="s">
        <v>55</v>
      </c>
      <c r="D17" s="3">
        <v>45363</v>
      </c>
      <c r="E17" s="1" t="s">
        <v>91</v>
      </c>
      <c r="F17" s="12">
        <v>10</v>
      </c>
      <c r="G17" s="1" t="s">
        <v>60</v>
      </c>
      <c r="H17" s="1" t="s">
        <v>93</v>
      </c>
      <c r="I17" s="12" t="s">
        <v>94</v>
      </c>
      <c r="J17" s="1" t="s">
        <v>91</v>
      </c>
      <c r="K17" s="12">
        <v>20</v>
      </c>
      <c r="L17" s="12">
        <v>12</v>
      </c>
      <c r="M17" s="12">
        <v>18</v>
      </c>
    </row>
    <row r="18" spans="1:13" ht="16.5" hidden="1" customHeight="1">
      <c r="A18" s="1">
        <v>3247</v>
      </c>
      <c r="B18" s="1" t="s">
        <v>109</v>
      </c>
      <c r="C18" s="1" t="s">
        <v>51</v>
      </c>
      <c r="D18" s="3">
        <v>45364</v>
      </c>
      <c r="E18" s="1" t="s">
        <v>93</v>
      </c>
      <c r="F18" s="12">
        <v>5</v>
      </c>
      <c r="G18" s="1" t="s">
        <v>52</v>
      </c>
      <c r="H18" s="1" t="s">
        <v>93</v>
      </c>
      <c r="I18" s="12" t="s">
        <v>94</v>
      </c>
      <c r="J18" s="1" t="s">
        <v>93</v>
      </c>
      <c r="K18" s="12">
        <v>0</v>
      </c>
      <c r="L18" s="12">
        <v>2</v>
      </c>
      <c r="M18" s="12">
        <v>3</v>
      </c>
    </row>
    <row r="19" spans="1:13" ht="16.5" customHeight="1">
      <c r="A19" s="1">
        <v>3248</v>
      </c>
      <c r="B19" s="1" t="s">
        <v>110</v>
      </c>
      <c r="C19" s="1" t="s">
        <v>59</v>
      </c>
      <c r="D19" s="3">
        <v>45365</v>
      </c>
      <c r="E19" s="1" t="s">
        <v>91</v>
      </c>
      <c r="F19" s="12">
        <v>15</v>
      </c>
      <c r="G19" s="1" t="s">
        <v>56</v>
      </c>
      <c r="H19" s="1" t="s">
        <v>91</v>
      </c>
      <c r="I19" s="12">
        <v>30</v>
      </c>
      <c r="J19" s="1" t="s">
        <v>91</v>
      </c>
      <c r="K19" s="12">
        <v>20</v>
      </c>
      <c r="L19" s="12">
        <v>7</v>
      </c>
      <c r="M19" s="12">
        <v>58</v>
      </c>
    </row>
    <row r="20" spans="1:13" ht="16.5" hidden="1" customHeight="1">
      <c r="A20" s="1">
        <v>3249</v>
      </c>
      <c r="B20" s="1" t="s">
        <v>111</v>
      </c>
      <c r="C20" s="1" t="s">
        <v>55</v>
      </c>
      <c r="D20" s="3">
        <v>45366</v>
      </c>
      <c r="E20" s="1" t="s">
        <v>93</v>
      </c>
      <c r="F20" s="12">
        <v>10</v>
      </c>
      <c r="G20" s="1" t="s">
        <v>52</v>
      </c>
      <c r="H20" s="1" t="s">
        <v>93</v>
      </c>
      <c r="I20" s="12" t="s">
        <v>94</v>
      </c>
      <c r="J20" s="1" t="s">
        <v>91</v>
      </c>
      <c r="K20" s="12">
        <v>20</v>
      </c>
      <c r="L20" s="12">
        <v>5</v>
      </c>
      <c r="M20" s="12">
        <v>25</v>
      </c>
    </row>
    <row r="21" spans="1:13" ht="16.5" hidden="1" customHeight="1">
      <c r="A21" s="1">
        <v>3250</v>
      </c>
      <c r="B21" s="1" t="s">
        <v>112</v>
      </c>
      <c r="C21" s="1" t="s">
        <v>51</v>
      </c>
      <c r="D21" s="3">
        <v>45367</v>
      </c>
      <c r="E21" s="1" t="s">
        <v>91</v>
      </c>
      <c r="F21" s="12">
        <v>5</v>
      </c>
      <c r="G21" s="1" t="s">
        <v>60</v>
      </c>
      <c r="H21" s="1" t="s">
        <v>93</v>
      </c>
      <c r="I21" s="12" t="s">
        <v>94</v>
      </c>
      <c r="J21" s="1" t="s">
        <v>93</v>
      </c>
      <c r="K21" s="12">
        <v>0</v>
      </c>
      <c r="L21" s="12">
        <v>0</v>
      </c>
      <c r="M21" s="12">
        <v>5</v>
      </c>
    </row>
    <row r="22" spans="1:13" ht="16.5" customHeight="1">
      <c r="A22" s="1">
        <v>3251</v>
      </c>
      <c r="B22" s="1" t="s">
        <v>113</v>
      </c>
      <c r="C22" s="1" t="s">
        <v>59</v>
      </c>
      <c r="D22" s="3">
        <v>45368</v>
      </c>
      <c r="E22" s="1" t="s">
        <v>93</v>
      </c>
      <c r="F22" s="12">
        <v>15</v>
      </c>
      <c r="G22" s="1" t="s">
        <v>52</v>
      </c>
      <c r="H22" s="1" t="s">
        <v>91</v>
      </c>
      <c r="I22" s="12">
        <v>30</v>
      </c>
      <c r="J22" s="1" t="s">
        <v>91</v>
      </c>
      <c r="K22" s="12">
        <v>20</v>
      </c>
      <c r="L22" s="12">
        <v>3</v>
      </c>
      <c r="M22" s="12">
        <v>62</v>
      </c>
    </row>
    <row r="23" spans="1:13" ht="16.5" hidden="1" customHeight="1">
      <c r="A23" s="1">
        <v>3252</v>
      </c>
      <c r="B23" s="1" t="s">
        <v>114</v>
      </c>
      <c r="C23" s="1" t="s">
        <v>55</v>
      </c>
      <c r="D23" s="3">
        <v>45369</v>
      </c>
      <c r="E23" s="1" t="s">
        <v>91</v>
      </c>
      <c r="F23" s="12">
        <v>10</v>
      </c>
      <c r="G23" s="1" t="s">
        <v>56</v>
      </c>
      <c r="H23" s="1" t="s">
        <v>93</v>
      </c>
      <c r="I23" s="12" t="s">
        <v>94</v>
      </c>
      <c r="J23" s="1" t="s">
        <v>91</v>
      </c>
      <c r="K23" s="12">
        <v>20</v>
      </c>
      <c r="L23" s="12">
        <v>15</v>
      </c>
      <c r="M23" s="12">
        <v>15</v>
      </c>
    </row>
    <row r="24" spans="1:13" ht="16.5" hidden="1" customHeight="1">
      <c r="A24" s="1">
        <v>3253</v>
      </c>
      <c r="B24" s="1" t="s">
        <v>115</v>
      </c>
      <c r="C24" s="1" t="s">
        <v>51</v>
      </c>
      <c r="D24" s="3">
        <v>45370</v>
      </c>
      <c r="E24" s="1" t="s">
        <v>93</v>
      </c>
      <c r="F24" s="12">
        <v>5</v>
      </c>
      <c r="G24" s="1" t="s">
        <v>52</v>
      </c>
      <c r="H24" s="1" t="s">
        <v>93</v>
      </c>
      <c r="I24" s="12" t="s">
        <v>94</v>
      </c>
      <c r="J24" s="1" t="s">
        <v>93</v>
      </c>
      <c r="K24" s="12">
        <v>0</v>
      </c>
      <c r="L24" s="12">
        <v>1</v>
      </c>
      <c r="M24" s="12">
        <v>4</v>
      </c>
    </row>
    <row r="25" spans="1:13" ht="16.5" customHeight="1">
      <c r="A25" s="1">
        <v>3254</v>
      </c>
      <c r="B25" s="1" t="s">
        <v>116</v>
      </c>
      <c r="C25" s="1" t="s">
        <v>59</v>
      </c>
      <c r="D25" s="3">
        <v>45371</v>
      </c>
      <c r="E25" s="1" t="s">
        <v>91</v>
      </c>
      <c r="F25" s="12">
        <v>15</v>
      </c>
      <c r="G25" s="1" t="s">
        <v>60</v>
      </c>
      <c r="H25" s="1" t="s">
        <v>91</v>
      </c>
      <c r="I25" s="12">
        <v>30</v>
      </c>
      <c r="J25" s="1" t="s">
        <v>91</v>
      </c>
      <c r="K25" s="12">
        <v>20</v>
      </c>
      <c r="L25" s="12">
        <v>20</v>
      </c>
      <c r="M25" s="12">
        <v>45</v>
      </c>
    </row>
    <row r="26" spans="1:13" ht="16.5" hidden="1" customHeight="1">
      <c r="A26" s="1">
        <v>3255</v>
      </c>
      <c r="B26" s="1" t="s">
        <v>117</v>
      </c>
      <c r="C26" s="1" t="s">
        <v>55</v>
      </c>
      <c r="D26" s="3">
        <v>45372</v>
      </c>
      <c r="E26" s="1" t="s">
        <v>93</v>
      </c>
      <c r="F26" s="12">
        <v>10</v>
      </c>
      <c r="G26" s="1" t="s">
        <v>52</v>
      </c>
      <c r="H26" s="1" t="s">
        <v>93</v>
      </c>
      <c r="I26" s="12" t="s">
        <v>94</v>
      </c>
      <c r="J26" s="1" t="s">
        <v>91</v>
      </c>
      <c r="K26" s="12">
        <v>20</v>
      </c>
      <c r="L26" s="12">
        <v>10</v>
      </c>
      <c r="M26" s="12">
        <v>20</v>
      </c>
    </row>
    <row r="27" spans="1:13" ht="16.5" hidden="1" customHeight="1">
      <c r="A27" s="1">
        <v>3256</v>
      </c>
      <c r="B27" s="1" t="s">
        <v>118</v>
      </c>
      <c r="C27" s="1" t="s">
        <v>51</v>
      </c>
      <c r="D27" s="3">
        <v>45373</v>
      </c>
      <c r="E27" s="1" t="s">
        <v>91</v>
      </c>
      <c r="F27" s="12">
        <v>5</v>
      </c>
      <c r="G27" s="1" t="s">
        <v>56</v>
      </c>
      <c r="H27" s="1" t="s">
        <v>93</v>
      </c>
      <c r="I27" s="12" t="s">
        <v>94</v>
      </c>
      <c r="J27" s="1" t="s">
        <v>93</v>
      </c>
      <c r="K27" s="12">
        <v>0</v>
      </c>
      <c r="L27" s="12">
        <v>0</v>
      </c>
      <c r="M27" s="12">
        <v>5</v>
      </c>
    </row>
    <row r="28" spans="1:13" ht="16.5" customHeight="1">
      <c r="A28" s="1">
        <v>3257</v>
      </c>
      <c r="B28" s="1" t="s">
        <v>119</v>
      </c>
      <c r="C28" s="1" t="s">
        <v>59</v>
      </c>
      <c r="D28" s="3">
        <v>45374</v>
      </c>
      <c r="E28" s="1" t="s">
        <v>93</v>
      </c>
      <c r="F28" s="12">
        <v>15</v>
      </c>
      <c r="G28" s="1" t="s">
        <v>52</v>
      </c>
      <c r="H28" s="1" t="s">
        <v>91</v>
      </c>
      <c r="I28" s="12">
        <v>30</v>
      </c>
      <c r="J28" s="1" t="s">
        <v>91</v>
      </c>
      <c r="K28" s="12">
        <v>20</v>
      </c>
      <c r="L28" s="12">
        <v>5</v>
      </c>
      <c r="M28" s="12">
        <v>60</v>
      </c>
    </row>
    <row r="29" spans="1:13" ht="16.5" hidden="1" customHeight="1">
      <c r="A29" s="1">
        <v>3258</v>
      </c>
      <c r="B29" s="1" t="s">
        <v>120</v>
      </c>
      <c r="C29" s="1" t="s">
        <v>55</v>
      </c>
      <c r="D29" s="3">
        <v>45375</v>
      </c>
      <c r="E29" s="1" t="s">
        <v>91</v>
      </c>
      <c r="F29" s="12">
        <v>10</v>
      </c>
      <c r="G29" s="1" t="s">
        <v>60</v>
      </c>
      <c r="H29" s="1" t="s">
        <v>93</v>
      </c>
      <c r="I29" s="12" t="s">
        <v>94</v>
      </c>
      <c r="J29" s="1" t="s">
        <v>91</v>
      </c>
      <c r="K29" s="12">
        <v>20</v>
      </c>
      <c r="L29" s="12">
        <v>15</v>
      </c>
      <c r="M29" s="12">
        <v>15</v>
      </c>
    </row>
    <row r="30" spans="1:13" ht="16.5" hidden="1" customHeight="1">
      <c r="A30" s="1">
        <v>3259</v>
      </c>
      <c r="B30" s="1" t="s">
        <v>121</v>
      </c>
      <c r="C30" s="1" t="s">
        <v>51</v>
      </c>
      <c r="D30" s="3">
        <v>45376</v>
      </c>
      <c r="E30" s="1" t="s">
        <v>93</v>
      </c>
      <c r="F30" s="12">
        <v>5</v>
      </c>
      <c r="G30" s="1" t="s">
        <v>52</v>
      </c>
      <c r="H30" s="1" t="s">
        <v>93</v>
      </c>
      <c r="I30" s="12" t="s">
        <v>94</v>
      </c>
      <c r="J30" s="1" t="s">
        <v>93</v>
      </c>
      <c r="K30" s="12">
        <v>0</v>
      </c>
      <c r="L30" s="12">
        <v>1</v>
      </c>
      <c r="M30" s="12">
        <v>4</v>
      </c>
    </row>
    <row r="31" spans="1:13" ht="16.5" customHeight="1">
      <c r="A31" s="1">
        <v>3260</v>
      </c>
      <c r="B31" s="1" t="s">
        <v>122</v>
      </c>
      <c r="C31" s="1" t="s">
        <v>59</v>
      </c>
      <c r="D31" s="3">
        <v>45377</v>
      </c>
      <c r="E31" s="1" t="s">
        <v>91</v>
      </c>
      <c r="F31" s="12">
        <v>15</v>
      </c>
      <c r="G31" s="1" t="s">
        <v>56</v>
      </c>
      <c r="H31" s="1" t="s">
        <v>91</v>
      </c>
      <c r="I31" s="12">
        <v>30</v>
      </c>
      <c r="J31" s="1" t="s">
        <v>91</v>
      </c>
      <c r="K31" s="12">
        <v>20</v>
      </c>
      <c r="L31" s="12">
        <v>7</v>
      </c>
      <c r="M31" s="12">
        <v>58</v>
      </c>
    </row>
    <row r="32" spans="1:13" ht="16.5" hidden="1" customHeight="1">
      <c r="A32" s="1">
        <v>3261</v>
      </c>
      <c r="B32" s="1" t="s">
        <v>123</v>
      </c>
      <c r="C32" s="1" t="s">
        <v>55</v>
      </c>
      <c r="D32" s="3">
        <v>45378</v>
      </c>
      <c r="E32" s="1" t="s">
        <v>93</v>
      </c>
      <c r="F32" s="12">
        <v>10</v>
      </c>
      <c r="G32" s="1" t="s">
        <v>52</v>
      </c>
      <c r="H32" s="1" t="s">
        <v>93</v>
      </c>
      <c r="I32" s="12" t="s">
        <v>94</v>
      </c>
      <c r="J32" s="1" t="s">
        <v>91</v>
      </c>
      <c r="K32" s="12">
        <v>20</v>
      </c>
      <c r="L32" s="12">
        <v>10</v>
      </c>
      <c r="M32" s="12">
        <v>20</v>
      </c>
    </row>
    <row r="33" spans="1:13" ht="16.5" hidden="1" customHeight="1">
      <c r="A33" s="1">
        <v>3262</v>
      </c>
      <c r="B33" s="1" t="s">
        <v>124</v>
      </c>
      <c r="C33" s="1" t="s">
        <v>51</v>
      </c>
      <c r="D33" s="3">
        <v>45379</v>
      </c>
      <c r="E33" s="1" t="s">
        <v>91</v>
      </c>
      <c r="F33" s="12">
        <v>5</v>
      </c>
      <c r="G33" s="1" t="s">
        <v>60</v>
      </c>
      <c r="H33" s="1" t="s">
        <v>93</v>
      </c>
      <c r="I33" s="12" t="s">
        <v>94</v>
      </c>
      <c r="J33" s="1" t="s">
        <v>93</v>
      </c>
      <c r="K33" s="12">
        <v>0</v>
      </c>
      <c r="L33" s="12">
        <v>0</v>
      </c>
      <c r="M33" s="12">
        <v>5</v>
      </c>
    </row>
    <row r="34" spans="1:13" ht="16.5" customHeight="1">
      <c r="A34" s="1">
        <v>3263</v>
      </c>
      <c r="B34" s="1" t="s">
        <v>125</v>
      </c>
      <c r="C34" s="1" t="s">
        <v>59</v>
      </c>
      <c r="D34" s="3">
        <v>45380</v>
      </c>
      <c r="E34" s="1" t="s">
        <v>93</v>
      </c>
      <c r="F34" s="12">
        <v>15</v>
      </c>
      <c r="G34" s="1" t="s">
        <v>52</v>
      </c>
      <c r="H34" s="1" t="s">
        <v>91</v>
      </c>
      <c r="I34" s="12">
        <v>30</v>
      </c>
      <c r="J34" s="1" t="s">
        <v>91</v>
      </c>
      <c r="K34" s="12">
        <v>20</v>
      </c>
      <c r="L34" s="12">
        <v>3</v>
      </c>
      <c r="M34" s="12">
        <v>62</v>
      </c>
    </row>
    <row r="35" spans="1:13" ht="16.5" hidden="1" customHeight="1">
      <c r="A35" s="1">
        <v>3264</v>
      </c>
      <c r="B35" s="1" t="s">
        <v>126</v>
      </c>
      <c r="C35" s="1" t="s">
        <v>55</v>
      </c>
      <c r="D35" s="3">
        <v>45381</v>
      </c>
      <c r="E35" s="1" t="s">
        <v>91</v>
      </c>
      <c r="F35" s="12">
        <v>10</v>
      </c>
      <c r="G35" s="1" t="s">
        <v>56</v>
      </c>
      <c r="H35" s="1" t="s">
        <v>93</v>
      </c>
      <c r="I35" s="12" t="s">
        <v>94</v>
      </c>
      <c r="J35" s="1" t="s">
        <v>91</v>
      </c>
      <c r="K35" s="12">
        <v>20</v>
      </c>
      <c r="L35" s="12">
        <v>15</v>
      </c>
      <c r="M35" s="12">
        <v>15</v>
      </c>
    </row>
    <row r="36" spans="1:13" ht="16.5" hidden="1" customHeight="1">
      <c r="A36" s="1">
        <v>3265</v>
      </c>
      <c r="B36" s="1" t="s">
        <v>127</v>
      </c>
      <c r="C36" s="1" t="s">
        <v>51</v>
      </c>
      <c r="D36" s="3">
        <v>45382</v>
      </c>
      <c r="E36" s="1" t="s">
        <v>93</v>
      </c>
      <c r="F36" s="12">
        <v>5</v>
      </c>
      <c r="G36" s="1" t="s">
        <v>52</v>
      </c>
      <c r="H36" s="1" t="s">
        <v>93</v>
      </c>
      <c r="I36" s="12" t="s">
        <v>94</v>
      </c>
      <c r="J36" s="1" t="s">
        <v>93</v>
      </c>
      <c r="K36" s="12">
        <v>0</v>
      </c>
      <c r="L36" s="12">
        <v>1</v>
      </c>
      <c r="M36" s="12">
        <v>4</v>
      </c>
    </row>
    <row r="37" spans="1:13" ht="16.5" hidden="1" customHeight="1">
      <c r="A37" s="1">
        <v>3266</v>
      </c>
      <c r="B37" s="1" t="s">
        <v>128</v>
      </c>
      <c r="C37" s="1" t="s">
        <v>51</v>
      </c>
      <c r="D37" s="3">
        <v>45383</v>
      </c>
      <c r="E37" s="1" t="s">
        <v>91</v>
      </c>
      <c r="F37" s="12">
        <v>5</v>
      </c>
      <c r="G37" s="1" t="s">
        <v>52</v>
      </c>
      <c r="H37" s="1" t="s">
        <v>93</v>
      </c>
      <c r="I37" s="12" t="s">
        <v>94</v>
      </c>
      <c r="J37" s="1" t="s">
        <v>93</v>
      </c>
      <c r="K37" s="12">
        <v>0</v>
      </c>
      <c r="L37" s="12">
        <v>0</v>
      </c>
      <c r="M37" s="12">
        <v>5</v>
      </c>
    </row>
    <row r="38" spans="1:13" ht="16.5" customHeight="1">
      <c r="A38" s="1">
        <v>3267</v>
      </c>
      <c r="B38" s="1" t="s">
        <v>129</v>
      </c>
      <c r="C38" s="1" t="s">
        <v>59</v>
      </c>
      <c r="D38" s="3">
        <v>45384</v>
      </c>
      <c r="E38" s="1" t="s">
        <v>93</v>
      </c>
      <c r="F38" s="12">
        <v>15</v>
      </c>
      <c r="G38" s="1" t="s">
        <v>56</v>
      </c>
      <c r="H38" s="1" t="s">
        <v>91</v>
      </c>
      <c r="I38" s="12">
        <v>30</v>
      </c>
      <c r="J38" s="1" t="s">
        <v>91</v>
      </c>
      <c r="K38" s="12">
        <v>20</v>
      </c>
      <c r="L38" s="12">
        <v>7</v>
      </c>
      <c r="M38" s="12">
        <v>58</v>
      </c>
    </row>
    <row r="39" spans="1:13" ht="16.5" hidden="1" customHeight="1">
      <c r="A39" s="1">
        <v>3268</v>
      </c>
      <c r="B39" s="1" t="s">
        <v>130</v>
      </c>
      <c r="C39" s="1" t="s">
        <v>55</v>
      </c>
      <c r="D39" s="3">
        <v>45385</v>
      </c>
      <c r="E39" s="1" t="s">
        <v>91</v>
      </c>
      <c r="F39" s="12">
        <v>10</v>
      </c>
      <c r="G39" s="1" t="s">
        <v>60</v>
      </c>
      <c r="H39" s="1" t="s">
        <v>93</v>
      </c>
      <c r="I39" s="12" t="s">
        <v>94</v>
      </c>
      <c r="J39" s="1" t="s">
        <v>91</v>
      </c>
      <c r="K39" s="12">
        <v>20</v>
      </c>
      <c r="L39" s="12">
        <v>10</v>
      </c>
      <c r="M39" s="12">
        <v>20</v>
      </c>
    </row>
    <row r="40" spans="1:13" ht="16.5" hidden="1" customHeight="1">
      <c r="A40" s="1">
        <v>3269</v>
      </c>
      <c r="B40" s="1" t="s">
        <v>131</v>
      </c>
      <c r="C40" s="1" t="s">
        <v>51</v>
      </c>
      <c r="D40" s="3">
        <v>45386</v>
      </c>
      <c r="E40" s="1" t="s">
        <v>93</v>
      </c>
      <c r="F40" s="12">
        <v>5</v>
      </c>
      <c r="G40" s="1" t="s">
        <v>56</v>
      </c>
      <c r="H40" s="1" t="s">
        <v>93</v>
      </c>
      <c r="I40" s="12" t="s">
        <v>94</v>
      </c>
      <c r="J40" s="1" t="s">
        <v>93</v>
      </c>
      <c r="K40" s="12">
        <v>0</v>
      </c>
      <c r="L40" s="12">
        <v>1</v>
      </c>
      <c r="M40" s="12">
        <v>4</v>
      </c>
    </row>
    <row r="41" spans="1:13" ht="16.5" customHeight="1">
      <c r="A41" s="1">
        <v>3270</v>
      </c>
      <c r="B41" s="1" t="s">
        <v>132</v>
      </c>
      <c r="C41" s="1" t="s">
        <v>59</v>
      </c>
      <c r="D41" s="3">
        <v>45387</v>
      </c>
      <c r="E41" s="1" t="s">
        <v>91</v>
      </c>
      <c r="F41" s="12">
        <v>15</v>
      </c>
      <c r="G41" s="1" t="s">
        <v>52</v>
      </c>
      <c r="H41" s="1" t="s">
        <v>91</v>
      </c>
      <c r="I41" s="12">
        <v>30</v>
      </c>
      <c r="J41" s="1" t="s">
        <v>91</v>
      </c>
      <c r="K41" s="12">
        <v>20</v>
      </c>
      <c r="L41" s="12">
        <v>15</v>
      </c>
      <c r="M41" s="12">
        <v>50</v>
      </c>
    </row>
    <row r="42" spans="1:13" ht="16.5" hidden="1" customHeight="1">
      <c r="A42" s="1">
        <v>3271</v>
      </c>
      <c r="B42" s="1" t="s">
        <v>133</v>
      </c>
      <c r="C42" s="1" t="s">
        <v>55</v>
      </c>
      <c r="D42" s="3">
        <v>45388</v>
      </c>
      <c r="E42" s="1" t="s">
        <v>93</v>
      </c>
      <c r="F42" s="12">
        <v>10</v>
      </c>
      <c r="G42" s="1" t="s">
        <v>52</v>
      </c>
      <c r="H42" s="1" t="s">
        <v>93</v>
      </c>
      <c r="I42" s="12" t="s">
        <v>94</v>
      </c>
      <c r="J42" s="1" t="s">
        <v>91</v>
      </c>
      <c r="K42" s="12">
        <v>20</v>
      </c>
      <c r="L42" s="12">
        <v>5</v>
      </c>
      <c r="M42" s="12">
        <v>25</v>
      </c>
    </row>
    <row r="43" spans="1:13" ht="16.5" hidden="1" customHeight="1">
      <c r="A43" s="1">
        <v>3272</v>
      </c>
      <c r="B43" s="1" t="s">
        <v>134</v>
      </c>
      <c r="C43" s="1" t="s">
        <v>51</v>
      </c>
      <c r="D43" s="3">
        <v>45389</v>
      </c>
      <c r="E43" s="1" t="s">
        <v>91</v>
      </c>
      <c r="F43" s="12">
        <v>5</v>
      </c>
      <c r="G43" s="1" t="s">
        <v>60</v>
      </c>
      <c r="H43" s="1" t="s">
        <v>93</v>
      </c>
      <c r="I43" s="12" t="s">
        <v>94</v>
      </c>
      <c r="J43" s="1" t="s">
        <v>93</v>
      </c>
      <c r="K43" s="12">
        <v>0</v>
      </c>
      <c r="L43" s="12">
        <v>0</v>
      </c>
      <c r="M43" s="12">
        <v>5</v>
      </c>
    </row>
    <row r="44" spans="1:13" ht="16.5" customHeight="1">
      <c r="A44" s="1">
        <v>3273</v>
      </c>
      <c r="B44" s="1" t="s">
        <v>135</v>
      </c>
      <c r="C44" s="1" t="s">
        <v>59</v>
      </c>
      <c r="D44" s="3">
        <v>45390</v>
      </c>
      <c r="E44" s="1" t="s">
        <v>93</v>
      </c>
      <c r="F44" s="12">
        <v>15</v>
      </c>
      <c r="G44" s="1" t="s">
        <v>56</v>
      </c>
      <c r="H44" s="1" t="s">
        <v>91</v>
      </c>
      <c r="I44" s="12">
        <v>30</v>
      </c>
      <c r="J44" s="1" t="s">
        <v>91</v>
      </c>
      <c r="K44" s="12">
        <v>20</v>
      </c>
      <c r="L44" s="12">
        <v>20</v>
      </c>
      <c r="M44" s="12">
        <v>45</v>
      </c>
    </row>
    <row r="45" spans="1:13" ht="16.5" hidden="1" customHeight="1">
      <c r="A45" s="1">
        <v>3274</v>
      </c>
      <c r="B45" s="1" t="s">
        <v>136</v>
      </c>
      <c r="C45" s="1" t="s">
        <v>55</v>
      </c>
      <c r="D45" s="3">
        <v>45391</v>
      </c>
      <c r="E45" s="1" t="s">
        <v>91</v>
      </c>
      <c r="F45" s="12">
        <v>10</v>
      </c>
      <c r="G45" s="1" t="s">
        <v>56</v>
      </c>
      <c r="H45" s="1" t="s">
        <v>93</v>
      </c>
      <c r="I45" s="12" t="s">
        <v>94</v>
      </c>
      <c r="J45" s="1" t="s">
        <v>91</v>
      </c>
      <c r="K45" s="12">
        <v>20</v>
      </c>
      <c r="L45" s="12">
        <v>12</v>
      </c>
      <c r="M45" s="12">
        <v>18</v>
      </c>
    </row>
    <row r="46" spans="1:13" ht="16.5" hidden="1" customHeight="1">
      <c r="A46" s="1">
        <v>3275</v>
      </c>
      <c r="B46" s="1" t="s">
        <v>137</v>
      </c>
      <c r="C46" s="1" t="s">
        <v>51</v>
      </c>
      <c r="D46" s="3">
        <v>45392</v>
      </c>
      <c r="E46" s="1" t="s">
        <v>93</v>
      </c>
      <c r="F46" s="12">
        <v>5</v>
      </c>
      <c r="G46" s="1" t="s">
        <v>52</v>
      </c>
      <c r="H46" s="1" t="s">
        <v>93</v>
      </c>
      <c r="I46" s="12" t="s">
        <v>94</v>
      </c>
      <c r="J46" s="1" t="s">
        <v>93</v>
      </c>
      <c r="K46" s="12">
        <v>0</v>
      </c>
      <c r="L46" s="12">
        <v>2</v>
      </c>
      <c r="M46" s="12">
        <v>3</v>
      </c>
    </row>
    <row r="47" spans="1:13" ht="16.5" customHeight="1">
      <c r="A47" s="1">
        <v>3276</v>
      </c>
      <c r="B47" s="1" t="s">
        <v>138</v>
      </c>
      <c r="C47" s="1" t="s">
        <v>59</v>
      </c>
      <c r="D47" s="3">
        <v>45393</v>
      </c>
      <c r="E47" s="1" t="s">
        <v>91</v>
      </c>
      <c r="F47" s="12">
        <v>15</v>
      </c>
      <c r="G47" s="1" t="s">
        <v>60</v>
      </c>
      <c r="H47" s="1" t="s">
        <v>91</v>
      </c>
      <c r="I47" s="12">
        <v>30</v>
      </c>
      <c r="J47" s="1" t="s">
        <v>91</v>
      </c>
      <c r="K47" s="12">
        <v>20</v>
      </c>
      <c r="L47" s="12">
        <v>5</v>
      </c>
      <c r="M47" s="12">
        <v>60</v>
      </c>
    </row>
    <row r="48" spans="1:13" ht="16.5" hidden="1" customHeight="1">
      <c r="A48" s="1">
        <v>3277</v>
      </c>
      <c r="B48" s="1" t="s">
        <v>139</v>
      </c>
      <c r="C48" s="1" t="s">
        <v>55</v>
      </c>
      <c r="D48" s="3">
        <v>45394</v>
      </c>
      <c r="E48" s="1" t="s">
        <v>93</v>
      </c>
      <c r="F48" s="12">
        <v>10</v>
      </c>
      <c r="G48" s="1" t="s">
        <v>52</v>
      </c>
      <c r="H48" s="1" t="s">
        <v>93</v>
      </c>
      <c r="I48" s="12" t="s">
        <v>94</v>
      </c>
      <c r="J48" s="1" t="s">
        <v>91</v>
      </c>
      <c r="K48" s="12">
        <v>20</v>
      </c>
      <c r="L48" s="12">
        <v>10</v>
      </c>
      <c r="M48" s="12">
        <v>20</v>
      </c>
    </row>
    <row r="49" spans="1:13" ht="16.5" hidden="1" customHeight="1">
      <c r="A49" s="1">
        <v>3278</v>
      </c>
      <c r="B49" s="1" t="s">
        <v>140</v>
      </c>
      <c r="C49" s="1" t="s">
        <v>51</v>
      </c>
      <c r="D49" s="3">
        <v>45395</v>
      </c>
      <c r="E49" s="1" t="s">
        <v>91</v>
      </c>
      <c r="F49" s="12">
        <v>5</v>
      </c>
      <c r="G49" s="1" t="s">
        <v>56</v>
      </c>
      <c r="H49" s="1" t="s">
        <v>93</v>
      </c>
      <c r="I49" s="12" t="s">
        <v>94</v>
      </c>
      <c r="J49" s="1" t="s">
        <v>93</v>
      </c>
      <c r="K49" s="12">
        <v>0</v>
      </c>
      <c r="L49" s="12">
        <v>0</v>
      </c>
      <c r="M49" s="12">
        <v>5</v>
      </c>
    </row>
    <row r="50" spans="1:13" ht="16.5" customHeight="1">
      <c r="A50" s="1">
        <v>3279</v>
      </c>
      <c r="B50" s="1" t="s">
        <v>141</v>
      </c>
      <c r="C50" s="1" t="s">
        <v>59</v>
      </c>
      <c r="D50" s="3">
        <v>45396</v>
      </c>
      <c r="E50" s="1" t="s">
        <v>93</v>
      </c>
      <c r="F50" s="12">
        <v>15</v>
      </c>
      <c r="G50" s="1" t="s">
        <v>52</v>
      </c>
      <c r="H50" s="1" t="s">
        <v>91</v>
      </c>
      <c r="I50" s="12">
        <v>30</v>
      </c>
      <c r="J50" s="1" t="s">
        <v>91</v>
      </c>
      <c r="K50" s="12">
        <v>20</v>
      </c>
      <c r="L50" s="12">
        <v>3</v>
      </c>
      <c r="M50" s="12">
        <v>62</v>
      </c>
    </row>
    <row r="51" spans="1:13" ht="16.5" hidden="1" customHeight="1">
      <c r="A51" s="1">
        <v>3280</v>
      </c>
      <c r="B51" s="1" t="s">
        <v>142</v>
      </c>
      <c r="C51" s="1" t="s">
        <v>55</v>
      </c>
      <c r="D51" s="3">
        <v>45397</v>
      </c>
      <c r="E51" s="1" t="s">
        <v>91</v>
      </c>
      <c r="F51" s="12">
        <v>10</v>
      </c>
      <c r="G51" s="1" t="s">
        <v>60</v>
      </c>
      <c r="H51" s="1" t="s">
        <v>93</v>
      </c>
      <c r="I51" s="12" t="s">
        <v>94</v>
      </c>
      <c r="J51" s="1" t="s">
        <v>91</v>
      </c>
      <c r="K51" s="12">
        <v>20</v>
      </c>
      <c r="L51" s="12">
        <v>15</v>
      </c>
      <c r="M51" s="12">
        <v>15</v>
      </c>
    </row>
    <row r="52" spans="1:13" ht="16.5" hidden="1" customHeight="1">
      <c r="A52" s="1">
        <v>3281</v>
      </c>
      <c r="B52" s="1" t="s">
        <v>143</v>
      </c>
      <c r="C52" s="1" t="s">
        <v>51</v>
      </c>
      <c r="D52" s="3">
        <v>45398</v>
      </c>
      <c r="E52" s="1" t="s">
        <v>93</v>
      </c>
      <c r="F52" s="12">
        <v>5</v>
      </c>
      <c r="G52" s="1" t="s">
        <v>52</v>
      </c>
      <c r="H52" s="1" t="s">
        <v>93</v>
      </c>
      <c r="I52" s="12" t="s">
        <v>94</v>
      </c>
      <c r="J52" s="1" t="s">
        <v>93</v>
      </c>
      <c r="K52" s="12">
        <v>0</v>
      </c>
      <c r="L52" s="12">
        <v>1</v>
      </c>
      <c r="M52" s="12">
        <v>4</v>
      </c>
    </row>
    <row r="53" spans="1:13" ht="16.5" customHeight="1">
      <c r="A53" s="1">
        <v>3282</v>
      </c>
      <c r="B53" s="1" t="s">
        <v>144</v>
      </c>
      <c r="C53" s="1" t="s">
        <v>59</v>
      </c>
      <c r="D53" s="3">
        <v>45399</v>
      </c>
      <c r="E53" s="1" t="s">
        <v>91</v>
      </c>
      <c r="F53" s="12">
        <v>15</v>
      </c>
      <c r="G53" s="1" t="s">
        <v>56</v>
      </c>
      <c r="H53" s="1" t="s">
        <v>91</v>
      </c>
      <c r="I53" s="12">
        <v>30</v>
      </c>
      <c r="J53" s="1" t="s">
        <v>91</v>
      </c>
      <c r="K53" s="12">
        <v>20</v>
      </c>
      <c r="L53" s="12">
        <v>7</v>
      </c>
      <c r="M53" s="12">
        <v>58</v>
      </c>
    </row>
    <row r="54" spans="1:13" ht="16.5" hidden="1" customHeight="1">
      <c r="A54" s="1">
        <v>3283</v>
      </c>
      <c r="B54" s="1" t="s">
        <v>145</v>
      </c>
      <c r="C54" s="1" t="s">
        <v>55</v>
      </c>
      <c r="D54" s="3">
        <v>45400</v>
      </c>
      <c r="E54" s="1" t="s">
        <v>93</v>
      </c>
      <c r="F54" s="12">
        <v>10</v>
      </c>
      <c r="G54" s="1" t="s">
        <v>52</v>
      </c>
      <c r="H54" s="1" t="s">
        <v>93</v>
      </c>
      <c r="I54" s="12" t="s">
        <v>94</v>
      </c>
      <c r="J54" s="1" t="s">
        <v>91</v>
      </c>
      <c r="K54" s="12">
        <v>20</v>
      </c>
      <c r="L54" s="12">
        <v>10</v>
      </c>
      <c r="M54" s="12">
        <v>20</v>
      </c>
    </row>
    <row r="55" spans="1:13" ht="16.5" hidden="1" customHeight="1">
      <c r="A55" s="1">
        <v>3284</v>
      </c>
      <c r="B55" s="1" t="s">
        <v>146</v>
      </c>
      <c r="C55" s="1" t="s">
        <v>51</v>
      </c>
      <c r="D55" s="3">
        <v>45401</v>
      </c>
      <c r="E55" s="1" t="s">
        <v>91</v>
      </c>
      <c r="F55" s="12">
        <v>5</v>
      </c>
      <c r="G55" s="1" t="s">
        <v>60</v>
      </c>
      <c r="H55" s="1" t="s">
        <v>93</v>
      </c>
      <c r="I55" s="12" t="s">
        <v>94</v>
      </c>
      <c r="J55" s="1" t="s">
        <v>93</v>
      </c>
      <c r="K55" s="12">
        <v>0</v>
      </c>
      <c r="L55" s="12">
        <v>0</v>
      </c>
      <c r="M55" s="12">
        <v>5</v>
      </c>
    </row>
    <row r="56" spans="1:13" ht="16.5" customHeight="1">
      <c r="A56" s="1">
        <v>3285</v>
      </c>
      <c r="B56" s="1" t="s">
        <v>147</v>
      </c>
      <c r="C56" s="1" t="s">
        <v>59</v>
      </c>
      <c r="D56" s="3">
        <v>45402</v>
      </c>
      <c r="E56" s="1" t="s">
        <v>93</v>
      </c>
      <c r="F56" s="12">
        <v>15</v>
      </c>
      <c r="G56" s="1" t="s">
        <v>52</v>
      </c>
      <c r="H56" s="1" t="s">
        <v>91</v>
      </c>
      <c r="I56" s="12">
        <v>30</v>
      </c>
      <c r="J56" s="1" t="s">
        <v>91</v>
      </c>
      <c r="K56" s="12">
        <v>20</v>
      </c>
      <c r="L56" s="12">
        <v>20</v>
      </c>
      <c r="M56" s="12">
        <v>45</v>
      </c>
    </row>
    <row r="57" spans="1:13" ht="16.5" hidden="1" customHeight="1">
      <c r="A57" s="1">
        <v>3286</v>
      </c>
      <c r="B57" s="1" t="s">
        <v>148</v>
      </c>
      <c r="C57" s="1" t="s">
        <v>55</v>
      </c>
      <c r="D57" s="3">
        <v>45403</v>
      </c>
      <c r="E57" s="1" t="s">
        <v>91</v>
      </c>
      <c r="F57" s="12">
        <v>10</v>
      </c>
      <c r="G57" s="1" t="s">
        <v>56</v>
      </c>
      <c r="H57" s="1" t="s">
        <v>93</v>
      </c>
      <c r="I57" s="12" t="s">
        <v>94</v>
      </c>
      <c r="J57" s="1" t="s">
        <v>91</v>
      </c>
      <c r="K57" s="12">
        <v>20</v>
      </c>
      <c r="L57" s="12">
        <v>15</v>
      </c>
      <c r="M57" s="12">
        <v>15</v>
      </c>
    </row>
    <row r="58" spans="1:13" ht="16.5" hidden="1" customHeight="1">
      <c r="A58" s="1">
        <v>3287</v>
      </c>
      <c r="B58" s="1" t="s">
        <v>149</v>
      </c>
      <c r="C58" s="1" t="s">
        <v>51</v>
      </c>
      <c r="D58" s="3">
        <v>45404</v>
      </c>
      <c r="E58" s="1" t="s">
        <v>93</v>
      </c>
      <c r="F58" s="12">
        <v>5</v>
      </c>
      <c r="G58" s="1" t="s">
        <v>52</v>
      </c>
      <c r="H58" s="1" t="s">
        <v>93</v>
      </c>
      <c r="I58" s="12" t="s">
        <v>94</v>
      </c>
      <c r="J58" s="1" t="s">
        <v>93</v>
      </c>
      <c r="K58" s="12">
        <v>0</v>
      </c>
      <c r="L58" s="12">
        <v>1</v>
      </c>
      <c r="M58" s="12">
        <v>4</v>
      </c>
    </row>
    <row r="59" spans="1:13" ht="16.5" customHeight="1">
      <c r="A59" s="1">
        <v>3288</v>
      </c>
      <c r="B59" s="1" t="s">
        <v>150</v>
      </c>
      <c r="C59" s="1" t="s">
        <v>59</v>
      </c>
      <c r="D59" s="3">
        <v>45405</v>
      </c>
      <c r="E59" s="1" t="s">
        <v>91</v>
      </c>
      <c r="F59" s="12">
        <v>15</v>
      </c>
      <c r="G59" s="1" t="s">
        <v>60</v>
      </c>
      <c r="H59" s="1" t="s">
        <v>91</v>
      </c>
      <c r="I59" s="12">
        <v>30</v>
      </c>
      <c r="J59" s="1" t="s">
        <v>91</v>
      </c>
      <c r="K59" s="12">
        <v>20</v>
      </c>
      <c r="L59" s="12">
        <v>3</v>
      </c>
      <c r="M59" s="12">
        <v>62</v>
      </c>
    </row>
    <row r="60" spans="1:13" ht="16.5" hidden="1" customHeight="1">
      <c r="A60" s="1">
        <v>3289</v>
      </c>
      <c r="B60" s="1" t="s">
        <v>151</v>
      </c>
      <c r="C60" s="1" t="s">
        <v>55</v>
      </c>
      <c r="D60" s="3">
        <v>45406</v>
      </c>
      <c r="E60" s="1" t="s">
        <v>93</v>
      </c>
      <c r="F60" s="12">
        <v>10</v>
      </c>
      <c r="G60" s="1" t="s">
        <v>52</v>
      </c>
      <c r="H60" s="1" t="s">
        <v>93</v>
      </c>
      <c r="I60" s="12" t="s">
        <v>94</v>
      </c>
      <c r="J60" s="1" t="s">
        <v>91</v>
      </c>
      <c r="K60" s="12">
        <v>20</v>
      </c>
      <c r="L60" s="12">
        <v>10</v>
      </c>
      <c r="M60" s="12">
        <v>20</v>
      </c>
    </row>
    <row r="61" spans="1:13" ht="16.5" hidden="1" customHeight="1">
      <c r="A61" s="1">
        <v>3290</v>
      </c>
      <c r="B61" s="1" t="s">
        <v>152</v>
      </c>
      <c r="C61" s="1" t="s">
        <v>51</v>
      </c>
      <c r="D61" s="3">
        <v>45407</v>
      </c>
      <c r="E61" s="1" t="s">
        <v>91</v>
      </c>
      <c r="F61" s="12">
        <v>5</v>
      </c>
      <c r="G61" s="1" t="s">
        <v>56</v>
      </c>
      <c r="H61" s="1" t="s">
        <v>93</v>
      </c>
      <c r="I61" s="12" t="s">
        <v>94</v>
      </c>
      <c r="J61" s="1" t="s">
        <v>93</v>
      </c>
      <c r="K61" s="12">
        <v>0</v>
      </c>
      <c r="L61" s="12">
        <v>0</v>
      </c>
      <c r="M61" s="12">
        <v>5</v>
      </c>
    </row>
    <row r="62" spans="1:13" ht="16.5" customHeight="1">
      <c r="A62" s="1">
        <v>3291</v>
      </c>
      <c r="B62" s="1" t="s">
        <v>153</v>
      </c>
      <c r="C62" s="1" t="s">
        <v>59</v>
      </c>
      <c r="D62" s="3">
        <v>45408</v>
      </c>
      <c r="E62" s="1" t="s">
        <v>93</v>
      </c>
      <c r="F62" s="12">
        <v>15</v>
      </c>
      <c r="G62" s="1" t="s">
        <v>52</v>
      </c>
      <c r="H62" s="1" t="s">
        <v>91</v>
      </c>
      <c r="I62" s="12">
        <v>30</v>
      </c>
      <c r="J62" s="1" t="s">
        <v>91</v>
      </c>
      <c r="K62" s="12">
        <v>20</v>
      </c>
      <c r="L62" s="12">
        <v>5</v>
      </c>
      <c r="M62" s="12">
        <v>60</v>
      </c>
    </row>
    <row r="63" spans="1:13" ht="16.5" hidden="1" customHeight="1">
      <c r="A63" s="1">
        <v>3292</v>
      </c>
      <c r="B63" s="1" t="s">
        <v>154</v>
      </c>
      <c r="C63" s="1" t="s">
        <v>55</v>
      </c>
      <c r="D63" s="3">
        <v>45409</v>
      </c>
      <c r="E63" s="1" t="s">
        <v>91</v>
      </c>
      <c r="F63" s="12">
        <v>10</v>
      </c>
      <c r="G63" s="1" t="s">
        <v>60</v>
      </c>
      <c r="H63" s="1" t="s">
        <v>93</v>
      </c>
      <c r="I63" s="12" t="s">
        <v>94</v>
      </c>
      <c r="J63" s="1" t="s">
        <v>91</v>
      </c>
      <c r="K63" s="12">
        <v>20</v>
      </c>
      <c r="L63" s="12">
        <v>15</v>
      </c>
      <c r="M63" s="12">
        <v>15</v>
      </c>
    </row>
    <row r="64" spans="1:13" ht="16.5" hidden="1" customHeight="1">
      <c r="A64" s="1">
        <v>3293</v>
      </c>
      <c r="B64" s="1" t="s">
        <v>155</v>
      </c>
      <c r="C64" s="1" t="s">
        <v>51</v>
      </c>
      <c r="D64" s="3">
        <v>45410</v>
      </c>
      <c r="E64" s="1" t="s">
        <v>93</v>
      </c>
      <c r="F64" s="12">
        <v>5</v>
      </c>
      <c r="G64" s="1" t="s">
        <v>52</v>
      </c>
      <c r="H64" s="1" t="s">
        <v>93</v>
      </c>
      <c r="I64" s="12" t="s">
        <v>94</v>
      </c>
      <c r="J64" s="1" t="s">
        <v>93</v>
      </c>
      <c r="K64" s="12">
        <v>0</v>
      </c>
      <c r="L64" s="12">
        <v>1</v>
      </c>
      <c r="M64" s="12">
        <v>4</v>
      </c>
    </row>
    <row r="65" spans="1:13" ht="16.5" customHeight="1">
      <c r="A65" s="1">
        <v>3294</v>
      </c>
      <c r="B65" s="1" t="s">
        <v>156</v>
      </c>
      <c r="C65" s="1" t="s">
        <v>59</v>
      </c>
      <c r="D65" s="3">
        <v>45411</v>
      </c>
      <c r="E65" s="1" t="s">
        <v>91</v>
      </c>
      <c r="F65" s="12">
        <v>15</v>
      </c>
      <c r="G65" s="1" t="s">
        <v>56</v>
      </c>
      <c r="H65" s="1" t="s">
        <v>91</v>
      </c>
      <c r="I65" s="12">
        <v>30</v>
      </c>
      <c r="J65" s="1" t="s">
        <v>91</v>
      </c>
      <c r="K65" s="12">
        <v>20</v>
      </c>
      <c r="L65" s="12">
        <v>20</v>
      </c>
      <c r="M65" s="12">
        <v>45</v>
      </c>
    </row>
    <row r="66" spans="1:13" ht="16.5" hidden="1" customHeight="1">
      <c r="A66" s="1">
        <v>3295</v>
      </c>
      <c r="B66" s="1" t="s">
        <v>157</v>
      </c>
      <c r="C66" s="1" t="s">
        <v>55</v>
      </c>
      <c r="D66" s="3">
        <v>45412</v>
      </c>
      <c r="E66" s="1" t="s">
        <v>93</v>
      </c>
      <c r="F66" s="12">
        <v>10</v>
      </c>
      <c r="G66" s="1" t="s">
        <v>52</v>
      </c>
      <c r="H66" s="1" t="s">
        <v>93</v>
      </c>
      <c r="I66" s="12" t="s">
        <v>94</v>
      </c>
      <c r="J66" s="1" t="s">
        <v>91</v>
      </c>
      <c r="K66" s="12">
        <v>20</v>
      </c>
      <c r="L66" s="12">
        <v>5</v>
      </c>
      <c r="M66" s="12">
        <v>25</v>
      </c>
    </row>
    <row r="67" spans="1:13" ht="16.5" hidden="1" customHeight="1">
      <c r="A67" s="1">
        <v>3296</v>
      </c>
      <c r="B67" s="1" t="s">
        <v>158</v>
      </c>
      <c r="C67" s="1" t="s">
        <v>51</v>
      </c>
      <c r="D67" s="3">
        <v>45413</v>
      </c>
      <c r="E67" s="1" t="s">
        <v>93</v>
      </c>
      <c r="F67" s="12">
        <v>5</v>
      </c>
      <c r="G67" s="1" t="s">
        <v>52</v>
      </c>
      <c r="H67" s="1" t="s">
        <v>93</v>
      </c>
      <c r="I67" s="12" t="s">
        <v>94</v>
      </c>
      <c r="J67" s="1" t="s">
        <v>93</v>
      </c>
      <c r="K67" s="12">
        <v>0</v>
      </c>
      <c r="L67" s="12">
        <v>0</v>
      </c>
      <c r="M67" s="12">
        <v>5</v>
      </c>
    </row>
    <row r="68" spans="1:13" ht="16.5" customHeight="1">
      <c r="A68" s="1">
        <v>3297</v>
      </c>
      <c r="B68" s="1" t="s">
        <v>159</v>
      </c>
      <c r="C68" s="1" t="s">
        <v>59</v>
      </c>
      <c r="D68" s="3">
        <v>45414</v>
      </c>
      <c r="E68" s="1" t="s">
        <v>91</v>
      </c>
      <c r="F68" s="12">
        <v>15</v>
      </c>
      <c r="G68" s="1" t="s">
        <v>56</v>
      </c>
      <c r="H68" s="1" t="s">
        <v>91</v>
      </c>
      <c r="I68" s="12">
        <v>30</v>
      </c>
      <c r="J68" s="1" t="s">
        <v>91</v>
      </c>
      <c r="K68" s="12">
        <v>20</v>
      </c>
      <c r="L68" s="12">
        <v>7</v>
      </c>
      <c r="M68" s="12">
        <v>58</v>
      </c>
    </row>
    <row r="69" spans="1:13" ht="16.5" hidden="1" customHeight="1">
      <c r="A69" s="1">
        <v>3298</v>
      </c>
      <c r="B69" s="1" t="s">
        <v>160</v>
      </c>
      <c r="C69" s="1" t="s">
        <v>55</v>
      </c>
      <c r="D69" s="3">
        <v>45415</v>
      </c>
      <c r="E69" s="1" t="s">
        <v>93</v>
      </c>
      <c r="F69" s="12">
        <v>10</v>
      </c>
      <c r="G69" s="1" t="s">
        <v>60</v>
      </c>
      <c r="H69" s="1" t="s">
        <v>93</v>
      </c>
      <c r="I69" s="12" t="s">
        <v>94</v>
      </c>
      <c r="J69" s="1" t="s">
        <v>91</v>
      </c>
      <c r="K69" s="12">
        <v>20</v>
      </c>
      <c r="L69" s="12">
        <v>10</v>
      </c>
      <c r="M69" s="12">
        <v>20</v>
      </c>
    </row>
    <row r="70" spans="1:13" ht="16.5" hidden="1" customHeight="1">
      <c r="A70" s="1">
        <v>3299</v>
      </c>
      <c r="B70" s="1" t="s">
        <v>161</v>
      </c>
      <c r="C70" s="1" t="s">
        <v>51</v>
      </c>
      <c r="D70" s="3">
        <v>45416</v>
      </c>
      <c r="E70" s="1" t="s">
        <v>91</v>
      </c>
      <c r="F70" s="12">
        <v>5</v>
      </c>
      <c r="G70" s="1" t="s">
        <v>56</v>
      </c>
      <c r="H70" s="1" t="s">
        <v>93</v>
      </c>
      <c r="I70" s="12" t="s">
        <v>94</v>
      </c>
      <c r="J70" s="1" t="s">
        <v>93</v>
      </c>
      <c r="K70" s="12">
        <v>0</v>
      </c>
      <c r="L70" s="12">
        <v>1</v>
      </c>
      <c r="M70" s="12">
        <v>4</v>
      </c>
    </row>
    <row r="71" spans="1:13" ht="16.5" customHeight="1">
      <c r="A71" s="1">
        <v>3300</v>
      </c>
      <c r="B71" s="1" t="s">
        <v>162</v>
      </c>
      <c r="C71" s="1" t="s">
        <v>59</v>
      </c>
      <c r="D71" s="3">
        <v>45417</v>
      </c>
      <c r="E71" s="1" t="s">
        <v>93</v>
      </c>
      <c r="F71" s="12">
        <v>15</v>
      </c>
      <c r="G71" s="1" t="s">
        <v>52</v>
      </c>
      <c r="H71" s="1" t="s">
        <v>91</v>
      </c>
      <c r="I71" s="12">
        <v>30</v>
      </c>
      <c r="J71" s="1" t="s">
        <v>91</v>
      </c>
      <c r="K71" s="12">
        <v>20</v>
      </c>
      <c r="L71" s="12">
        <v>15</v>
      </c>
      <c r="M71" s="12">
        <v>50</v>
      </c>
    </row>
    <row r="72" spans="1:13" ht="16.5" hidden="1" customHeight="1">
      <c r="A72" s="1">
        <v>3301</v>
      </c>
      <c r="B72" s="1" t="s">
        <v>163</v>
      </c>
      <c r="C72" s="1" t="s">
        <v>55</v>
      </c>
      <c r="D72" s="3">
        <v>45418</v>
      </c>
      <c r="E72" s="1" t="s">
        <v>91</v>
      </c>
      <c r="F72" s="12">
        <v>10</v>
      </c>
      <c r="G72" s="1" t="s">
        <v>52</v>
      </c>
      <c r="H72" s="1" t="s">
        <v>93</v>
      </c>
      <c r="I72" s="12" t="s">
        <v>94</v>
      </c>
      <c r="J72" s="1" t="s">
        <v>91</v>
      </c>
      <c r="K72" s="12">
        <v>20</v>
      </c>
      <c r="L72" s="12">
        <v>5</v>
      </c>
      <c r="M72" s="12">
        <v>25</v>
      </c>
    </row>
    <row r="73" spans="1:13" ht="16.5" hidden="1" customHeight="1">
      <c r="A73" s="1">
        <v>3302</v>
      </c>
      <c r="B73" s="1" t="s">
        <v>164</v>
      </c>
      <c r="C73" s="1" t="s">
        <v>51</v>
      </c>
      <c r="D73" s="3">
        <v>45419</v>
      </c>
      <c r="E73" s="1" t="s">
        <v>93</v>
      </c>
      <c r="F73" s="12">
        <v>5</v>
      </c>
      <c r="G73" s="1" t="s">
        <v>60</v>
      </c>
      <c r="H73" s="1" t="s">
        <v>93</v>
      </c>
      <c r="I73" s="12" t="s">
        <v>94</v>
      </c>
      <c r="J73" s="1" t="s">
        <v>93</v>
      </c>
      <c r="K73" s="12">
        <v>0</v>
      </c>
      <c r="L73" s="12">
        <v>0</v>
      </c>
      <c r="M73" s="12">
        <v>5</v>
      </c>
    </row>
    <row r="74" spans="1:13" ht="16.5" customHeight="1">
      <c r="A74" s="1">
        <v>3303</v>
      </c>
      <c r="B74" s="1" t="s">
        <v>165</v>
      </c>
      <c r="C74" s="1" t="s">
        <v>59</v>
      </c>
      <c r="D74" s="3">
        <v>45420</v>
      </c>
      <c r="E74" s="1" t="s">
        <v>91</v>
      </c>
      <c r="F74" s="12">
        <v>15</v>
      </c>
      <c r="G74" s="1" t="s">
        <v>56</v>
      </c>
      <c r="H74" s="1" t="s">
        <v>91</v>
      </c>
      <c r="I74" s="12">
        <v>30</v>
      </c>
      <c r="J74" s="1" t="s">
        <v>91</v>
      </c>
      <c r="K74" s="12">
        <v>20</v>
      </c>
      <c r="L74" s="12">
        <v>20</v>
      </c>
      <c r="M74" s="12">
        <v>45</v>
      </c>
    </row>
    <row r="75" spans="1:13" ht="16.5" hidden="1" customHeight="1">
      <c r="A75" s="1">
        <v>3304</v>
      </c>
      <c r="B75" s="1" t="s">
        <v>166</v>
      </c>
      <c r="C75" s="1" t="s">
        <v>55</v>
      </c>
      <c r="D75" s="3">
        <v>45421</v>
      </c>
      <c r="E75" s="1" t="s">
        <v>93</v>
      </c>
      <c r="F75" s="12">
        <v>10</v>
      </c>
      <c r="G75" s="1" t="s">
        <v>56</v>
      </c>
      <c r="H75" s="1" t="s">
        <v>93</v>
      </c>
      <c r="I75" s="12" t="s">
        <v>94</v>
      </c>
      <c r="J75" s="1" t="s">
        <v>91</v>
      </c>
      <c r="K75" s="12">
        <v>20</v>
      </c>
      <c r="L75" s="12">
        <v>12</v>
      </c>
      <c r="M75" s="12">
        <v>18</v>
      </c>
    </row>
    <row r="76" spans="1:13" ht="16.5" hidden="1" customHeight="1">
      <c r="A76" s="1">
        <v>3305</v>
      </c>
      <c r="B76" s="1" t="s">
        <v>167</v>
      </c>
      <c r="C76" s="1" t="s">
        <v>51</v>
      </c>
      <c r="D76" s="3">
        <v>45422</v>
      </c>
      <c r="E76" s="1" t="s">
        <v>91</v>
      </c>
      <c r="F76" s="12">
        <v>5</v>
      </c>
      <c r="G76" s="1" t="s">
        <v>52</v>
      </c>
      <c r="H76" s="1" t="s">
        <v>93</v>
      </c>
      <c r="I76" s="12" t="s">
        <v>94</v>
      </c>
      <c r="J76" s="1" t="s">
        <v>93</v>
      </c>
      <c r="K76" s="12">
        <v>0</v>
      </c>
      <c r="L76" s="12">
        <v>2</v>
      </c>
      <c r="M76" s="12">
        <v>3</v>
      </c>
    </row>
    <row r="77" spans="1:13" ht="16.5" customHeight="1">
      <c r="A77" s="1">
        <v>3306</v>
      </c>
      <c r="B77" s="1" t="s">
        <v>168</v>
      </c>
      <c r="C77" s="1" t="s">
        <v>59</v>
      </c>
      <c r="D77" s="3">
        <v>45423</v>
      </c>
      <c r="E77" s="1" t="s">
        <v>93</v>
      </c>
      <c r="F77" s="12">
        <v>15</v>
      </c>
      <c r="G77" s="1" t="s">
        <v>60</v>
      </c>
      <c r="H77" s="1" t="s">
        <v>91</v>
      </c>
      <c r="I77" s="12">
        <v>30</v>
      </c>
      <c r="J77" s="1" t="s">
        <v>91</v>
      </c>
      <c r="K77" s="12">
        <v>20</v>
      </c>
      <c r="L77" s="12">
        <v>5</v>
      </c>
      <c r="M77" s="12">
        <v>60</v>
      </c>
    </row>
    <row r="78" spans="1:13" ht="16.5" hidden="1" customHeight="1">
      <c r="A78" s="1">
        <v>3307</v>
      </c>
      <c r="B78" s="1" t="s">
        <v>169</v>
      </c>
      <c r="C78" s="1" t="s">
        <v>55</v>
      </c>
      <c r="D78" s="3">
        <v>45424</v>
      </c>
      <c r="E78" s="1" t="s">
        <v>91</v>
      </c>
      <c r="F78" s="12">
        <v>10</v>
      </c>
      <c r="G78" s="1" t="s">
        <v>52</v>
      </c>
      <c r="H78" s="1" t="s">
        <v>93</v>
      </c>
      <c r="I78" s="12" t="s">
        <v>94</v>
      </c>
      <c r="J78" s="1" t="s">
        <v>91</v>
      </c>
      <c r="K78" s="12">
        <v>20</v>
      </c>
      <c r="L78" s="12">
        <v>10</v>
      </c>
      <c r="M78" s="12">
        <v>20</v>
      </c>
    </row>
    <row r="79" spans="1:13" ht="16.5" hidden="1" customHeight="1">
      <c r="A79" s="1">
        <v>3308</v>
      </c>
      <c r="B79" s="1" t="s">
        <v>170</v>
      </c>
      <c r="C79" s="1" t="s">
        <v>51</v>
      </c>
      <c r="D79" s="3">
        <v>45425</v>
      </c>
      <c r="E79" s="1" t="s">
        <v>93</v>
      </c>
      <c r="F79" s="12">
        <v>5</v>
      </c>
      <c r="G79" s="1" t="s">
        <v>56</v>
      </c>
      <c r="H79" s="1" t="s">
        <v>93</v>
      </c>
      <c r="I79" s="12" t="s">
        <v>94</v>
      </c>
      <c r="J79" s="1" t="s">
        <v>93</v>
      </c>
      <c r="K79" s="12">
        <v>0</v>
      </c>
      <c r="L79" s="12">
        <v>0</v>
      </c>
      <c r="M79" s="12">
        <v>5</v>
      </c>
    </row>
    <row r="80" spans="1:13" ht="16.5" customHeight="1">
      <c r="A80" s="1">
        <v>3309</v>
      </c>
      <c r="B80" s="1" t="s">
        <v>171</v>
      </c>
      <c r="C80" s="1" t="s">
        <v>59</v>
      </c>
      <c r="D80" s="3">
        <v>45426</v>
      </c>
      <c r="E80" s="1" t="s">
        <v>91</v>
      </c>
      <c r="F80" s="12">
        <v>15</v>
      </c>
      <c r="G80" s="1" t="s">
        <v>52</v>
      </c>
      <c r="H80" s="1" t="s">
        <v>91</v>
      </c>
      <c r="I80" s="12">
        <v>30</v>
      </c>
      <c r="J80" s="1" t="s">
        <v>91</v>
      </c>
      <c r="K80" s="12">
        <v>20</v>
      </c>
      <c r="L80" s="12">
        <v>3</v>
      </c>
      <c r="M80" s="12">
        <v>62</v>
      </c>
    </row>
    <row r="81" spans="1:13" ht="16.5" hidden="1" customHeight="1">
      <c r="A81" s="1">
        <v>3310</v>
      </c>
      <c r="B81" s="1" t="s">
        <v>172</v>
      </c>
      <c r="C81" s="1" t="s">
        <v>55</v>
      </c>
      <c r="D81" s="3">
        <v>45427</v>
      </c>
      <c r="E81" s="1" t="s">
        <v>93</v>
      </c>
      <c r="F81" s="12">
        <v>10</v>
      </c>
      <c r="G81" s="1" t="s">
        <v>60</v>
      </c>
      <c r="H81" s="1" t="s">
        <v>93</v>
      </c>
      <c r="I81" s="12" t="s">
        <v>94</v>
      </c>
      <c r="J81" s="1" t="s">
        <v>91</v>
      </c>
      <c r="K81" s="12">
        <v>20</v>
      </c>
      <c r="L81" s="12">
        <v>15</v>
      </c>
      <c r="M81" s="12">
        <v>15</v>
      </c>
    </row>
    <row r="82" spans="1:13" ht="16.5" hidden="1" customHeight="1">
      <c r="A82" s="1">
        <v>3311</v>
      </c>
      <c r="B82" s="1" t="s">
        <v>173</v>
      </c>
      <c r="C82" s="1" t="s">
        <v>51</v>
      </c>
      <c r="D82" s="3">
        <v>45428</v>
      </c>
      <c r="E82" s="1" t="s">
        <v>91</v>
      </c>
      <c r="F82" s="12">
        <v>5</v>
      </c>
      <c r="G82" s="1" t="s">
        <v>52</v>
      </c>
      <c r="H82" s="1" t="s">
        <v>93</v>
      </c>
      <c r="I82" s="12" t="s">
        <v>94</v>
      </c>
      <c r="J82" s="1" t="s">
        <v>93</v>
      </c>
      <c r="K82" s="12">
        <v>0</v>
      </c>
      <c r="L82" s="12">
        <v>1</v>
      </c>
      <c r="M82" s="12">
        <v>4</v>
      </c>
    </row>
    <row r="83" spans="1:13" ht="16.5" customHeight="1">
      <c r="A83" s="1">
        <v>3312</v>
      </c>
      <c r="B83" s="1" t="s">
        <v>174</v>
      </c>
      <c r="C83" s="1" t="s">
        <v>59</v>
      </c>
      <c r="D83" s="3">
        <v>45429</v>
      </c>
      <c r="E83" s="1" t="s">
        <v>93</v>
      </c>
      <c r="F83" s="12">
        <v>15</v>
      </c>
      <c r="G83" s="1" t="s">
        <v>56</v>
      </c>
      <c r="H83" s="1" t="s">
        <v>91</v>
      </c>
      <c r="I83" s="12">
        <v>30</v>
      </c>
      <c r="J83" s="1" t="s">
        <v>91</v>
      </c>
      <c r="K83" s="12">
        <v>20</v>
      </c>
      <c r="L83" s="12">
        <v>7</v>
      </c>
      <c r="M83" s="12">
        <v>58</v>
      </c>
    </row>
    <row r="84" spans="1:13" ht="16.5" hidden="1" customHeight="1">
      <c r="A84" s="1">
        <v>3313</v>
      </c>
      <c r="B84" s="1" t="s">
        <v>175</v>
      </c>
      <c r="C84" s="1" t="s">
        <v>55</v>
      </c>
      <c r="D84" s="3">
        <v>45430</v>
      </c>
      <c r="E84" s="1" t="s">
        <v>91</v>
      </c>
      <c r="F84" s="12">
        <v>10</v>
      </c>
      <c r="G84" s="1" t="s">
        <v>52</v>
      </c>
      <c r="H84" s="1" t="s">
        <v>93</v>
      </c>
      <c r="I84" s="12" t="s">
        <v>94</v>
      </c>
      <c r="J84" s="1" t="s">
        <v>91</v>
      </c>
      <c r="K84" s="12">
        <v>20</v>
      </c>
      <c r="L84" s="12">
        <v>10</v>
      </c>
      <c r="M84" s="12">
        <v>20</v>
      </c>
    </row>
    <row r="85" spans="1:13" ht="16.5" hidden="1" customHeight="1">
      <c r="A85" s="1">
        <v>3314</v>
      </c>
      <c r="B85" s="1" t="s">
        <v>176</v>
      </c>
      <c r="C85" s="1" t="s">
        <v>51</v>
      </c>
      <c r="D85" s="3">
        <v>45431</v>
      </c>
      <c r="E85" s="1" t="s">
        <v>93</v>
      </c>
      <c r="F85" s="12">
        <v>5</v>
      </c>
      <c r="G85" s="1" t="s">
        <v>60</v>
      </c>
      <c r="H85" s="1" t="s">
        <v>93</v>
      </c>
      <c r="I85" s="12" t="s">
        <v>94</v>
      </c>
      <c r="J85" s="1" t="s">
        <v>93</v>
      </c>
      <c r="K85" s="12">
        <v>0</v>
      </c>
      <c r="L85" s="12">
        <v>0</v>
      </c>
      <c r="M85" s="12">
        <v>5</v>
      </c>
    </row>
    <row r="86" spans="1:13" ht="16.5" customHeight="1">
      <c r="A86" s="1">
        <v>3315</v>
      </c>
      <c r="B86" s="1" t="s">
        <v>177</v>
      </c>
      <c r="C86" s="1" t="s">
        <v>59</v>
      </c>
      <c r="D86" s="3">
        <v>45432</v>
      </c>
      <c r="E86" s="1" t="s">
        <v>91</v>
      </c>
      <c r="F86" s="12">
        <v>15</v>
      </c>
      <c r="G86" s="1" t="s">
        <v>52</v>
      </c>
      <c r="H86" s="1" t="s">
        <v>91</v>
      </c>
      <c r="I86" s="12">
        <v>30</v>
      </c>
      <c r="J86" s="1" t="s">
        <v>91</v>
      </c>
      <c r="K86" s="12">
        <v>20</v>
      </c>
      <c r="L86" s="12">
        <v>20</v>
      </c>
      <c r="M86" s="12">
        <v>45</v>
      </c>
    </row>
    <row r="87" spans="1:13" ht="16.5" hidden="1" customHeight="1">
      <c r="A87" s="1">
        <v>3316</v>
      </c>
      <c r="B87" s="1" t="s">
        <v>178</v>
      </c>
      <c r="C87" s="1" t="s">
        <v>55</v>
      </c>
      <c r="D87" s="3">
        <v>45433</v>
      </c>
      <c r="E87" s="1" t="s">
        <v>93</v>
      </c>
      <c r="F87" s="12">
        <v>10</v>
      </c>
      <c r="G87" s="1" t="s">
        <v>56</v>
      </c>
      <c r="H87" s="1" t="s">
        <v>93</v>
      </c>
      <c r="I87" s="12" t="s">
        <v>94</v>
      </c>
      <c r="J87" s="1" t="s">
        <v>91</v>
      </c>
      <c r="K87" s="12">
        <v>20</v>
      </c>
      <c r="L87" s="12">
        <v>15</v>
      </c>
      <c r="M87" s="12">
        <v>15</v>
      </c>
    </row>
    <row r="88" spans="1:13" ht="16.5" hidden="1" customHeight="1">
      <c r="A88" s="1">
        <v>3317</v>
      </c>
      <c r="B88" s="1" t="s">
        <v>179</v>
      </c>
      <c r="C88" s="1" t="s">
        <v>51</v>
      </c>
      <c r="D88" s="3">
        <v>45434</v>
      </c>
      <c r="E88" s="1" t="s">
        <v>91</v>
      </c>
      <c r="F88" s="12">
        <v>5</v>
      </c>
      <c r="G88" s="1" t="s">
        <v>52</v>
      </c>
      <c r="H88" s="1" t="s">
        <v>93</v>
      </c>
      <c r="I88" s="12" t="s">
        <v>94</v>
      </c>
      <c r="J88" s="1" t="s">
        <v>93</v>
      </c>
      <c r="K88" s="12">
        <v>0</v>
      </c>
      <c r="L88" s="12">
        <v>1</v>
      </c>
      <c r="M88" s="12">
        <v>4</v>
      </c>
    </row>
    <row r="89" spans="1:13" ht="16.5" customHeight="1">
      <c r="A89" s="1">
        <v>3318</v>
      </c>
      <c r="B89" s="1" t="s">
        <v>180</v>
      </c>
      <c r="C89" s="1" t="s">
        <v>59</v>
      </c>
      <c r="D89" s="3">
        <v>45435</v>
      </c>
      <c r="E89" s="1" t="s">
        <v>93</v>
      </c>
      <c r="F89" s="12">
        <v>15</v>
      </c>
      <c r="G89" s="1" t="s">
        <v>60</v>
      </c>
      <c r="H89" s="1" t="s">
        <v>91</v>
      </c>
      <c r="I89" s="12">
        <v>30</v>
      </c>
      <c r="J89" s="1" t="s">
        <v>91</v>
      </c>
      <c r="K89" s="12">
        <v>20</v>
      </c>
      <c r="L89" s="12">
        <v>3</v>
      </c>
      <c r="M89" s="12">
        <v>62</v>
      </c>
    </row>
    <row r="90" spans="1:13" ht="16.5" hidden="1" customHeight="1">
      <c r="A90" s="1">
        <v>3319</v>
      </c>
      <c r="B90" s="1" t="s">
        <v>181</v>
      </c>
      <c r="C90" s="1" t="s">
        <v>55</v>
      </c>
      <c r="D90" s="3">
        <v>45436</v>
      </c>
      <c r="E90" s="1" t="s">
        <v>91</v>
      </c>
      <c r="F90" s="12">
        <v>10</v>
      </c>
      <c r="G90" s="1" t="s">
        <v>52</v>
      </c>
      <c r="H90" s="1" t="s">
        <v>93</v>
      </c>
      <c r="I90" s="12" t="s">
        <v>94</v>
      </c>
      <c r="J90" s="1" t="s">
        <v>91</v>
      </c>
      <c r="K90" s="12">
        <v>20</v>
      </c>
      <c r="L90" s="12">
        <v>10</v>
      </c>
      <c r="M90" s="12">
        <v>20</v>
      </c>
    </row>
    <row r="91" spans="1:13" ht="16.5" hidden="1" customHeight="1">
      <c r="A91" s="1">
        <v>3320</v>
      </c>
      <c r="B91" s="1" t="s">
        <v>182</v>
      </c>
      <c r="C91" s="1" t="s">
        <v>51</v>
      </c>
      <c r="D91" s="3">
        <v>45437</v>
      </c>
      <c r="E91" s="1" t="s">
        <v>93</v>
      </c>
      <c r="F91" s="12">
        <v>5</v>
      </c>
      <c r="G91" s="1" t="s">
        <v>56</v>
      </c>
      <c r="H91" s="1" t="s">
        <v>93</v>
      </c>
      <c r="I91" s="12" t="s">
        <v>94</v>
      </c>
      <c r="J91" s="1" t="s">
        <v>93</v>
      </c>
      <c r="K91" s="12">
        <v>0</v>
      </c>
      <c r="L91" s="12">
        <v>0</v>
      </c>
      <c r="M91" s="12">
        <v>5</v>
      </c>
    </row>
    <row r="92" spans="1:13" ht="16.5" customHeight="1">
      <c r="A92" s="1">
        <v>3321</v>
      </c>
      <c r="B92" s="1" t="s">
        <v>183</v>
      </c>
      <c r="C92" s="1" t="s">
        <v>59</v>
      </c>
      <c r="D92" s="3">
        <v>45438</v>
      </c>
      <c r="E92" s="1" t="s">
        <v>91</v>
      </c>
      <c r="F92" s="12">
        <v>15</v>
      </c>
      <c r="G92" s="1" t="s">
        <v>52</v>
      </c>
      <c r="H92" s="1" t="s">
        <v>91</v>
      </c>
      <c r="I92" s="12">
        <v>30</v>
      </c>
      <c r="J92" s="1" t="s">
        <v>91</v>
      </c>
      <c r="K92" s="12">
        <v>20</v>
      </c>
      <c r="L92" s="12">
        <v>5</v>
      </c>
      <c r="M92" s="12">
        <v>60</v>
      </c>
    </row>
    <row r="93" spans="1:13" ht="16.5" hidden="1" customHeight="1">
      <c r="A93" s="1">
        <v>3322</v>
      </c>
      <c r="B93" s="1" t="s">
        <v>184</v>
      </c>
      <c r="C93" s="1" t="s">
        <v>55</v>
      </c>
      <c r="D93" s="3">
        <v>45439</v>
      </c>
      <c r="E93" s="1" t="s">
        <v>93</v>
      </c>
      <c r="F93" s="12">
        <v>10</v>
      </c>
      <c r="G93" s="1" t="s">
        <v>60</v>
      </c>
      <c r="H93" s="1" t="s">
        <v>93</v>
      </c>
      <c r="I93" s="12" t="s">
        <v>94</v>
      </c>
      <c r="J93" s="1" t="s">
        <v>91</v>
      </c>
      <c r="K93" s="12">
        <v>20</v>
      </c>
      <c r="L93" s="12">
        <v>15</v>
      </c>
      <c r="M93" s="12">
        <v>15</v>
      </c>
    </row>
    <row r="94" spans="1:13" ht="16.5" hidden="1" customHeight="1">
      <c r="A94" s="1">
        <v>3323</v>
      </c>
      <c r="B94" s="1" t="s">
        <v>185</v>
      </c>
      <c r="C94" s="1" t="s">
        <v>51</v>
      </c>
      <c r="D94" s="3">
        <v>45440</v>
      </c>
      <c r="E94" s="1" t="s">
        <v>91</v>
      </c>
      <c r="F94" s="12">
        <v>5</v>
      </c>
      <c r="G94" s="1" t="s">
        <v>52</v>
      </c>
      <c r="H94" s="1" t="s">
        <v>93</v>
      </c>
      <c r="I94" s="12" t="s">
        <v>94</v>
      </c>
      <c r="J94" s="1" t="s">
        <v>93</v>
      </c>
      <c r="K94" s="12">
        <v>0</v>
      </c>
      <c r="L94" s="12">
        <v>1</v>
      </c>
      <c r="M94" s="12">
        <v>4</v>
      </c>
    </row>
    <row r="95" spans="1:13" ht="16.5" customHeight="1">
      <c r="A95" s="1">
        <v>3324</v>
      </c>
      <c r="B95" s="1" t="s">
        <v>186</v>
      </c>
      <c r="C95" s="1" t="s">
        <v>59</v>
      </c>
      <c r="D95" s="3">
        <v>45441</v>
      </c>
      <c r="E95" s="1" t="s">
        <v>93</v>
      </c>
      <c r="F95" s="12">
        <v>15</v>
      </c>
      <c r="G95" s="1" t="s">
        <v>56</v>
      </c>
      <c r="H95" s="1" t="s">
        <v>91</v>
      </c>
      <c r="I95" s="12">
        <v>30</v>
      </c>
      <c r="J95" s="1" t="s">
        <v>91</v>
      </c>
      <c r="K95" s="12">
        <v>20</v>
      </c>
      <c r="L95" s="12">
        <v>20</v>
      </c>
      <c r="M95" s="12">
        <v>45</v>
      </c>
    </row>
    <row r="96" spans="1:13" ht="16.5" hidden="1" customHeight="1">
      <c r="A96" s="1">
        <v>3325</v>
      </c>
      <c r="B96" s="1" t="s">
        <v>187</v>
      </c>
      <c r="C96" s="1" t="s">
        <v>55</v>
      </c>
      <c r="D96" s="3">
        <v>45442</v>
      </c>
      <c r="E96" s="1" t="s">
        <v>91</v>
      </c>
      <c r="F96" s="12">
        <v>10</v>
      </c>
      <c r="G96" s="1" t="s">
        <v>56</v>
      </c>
      <c r="H96" s="1" t="s">
        <v>93</v>
      </c>
      <c r="I96" s="12" t="s">
        <v>94</v>
      </c>
      <c r="J96" s="1" t="s">
        <v>91</v>
      </c>
      <c r="K96" s="12">
        <v>20</v>
      </c>
      <c r="L96" s="12">
        <v>15</v>
      </c>
      <c r="M96" s="12">
        <v>15</v>
      </c>
    </row>
    <row r="97" spans="1:13" ht="16.5" hidden="1" customHeight="1">
      <c r="A97" s="1">
        <v>3326</v>
      </c>
      <c r="B97" s="1" t="s">
        <v>188</v>
      </c>
      <c r="C97" s="1" t="s">
        <v>51</v>
      </c>
      <c r="D97" s="3">
        <v>45443</v>
      </c>
      <c r="E97" s="1" t="s">
        <v>93</v>
      </c>
      <c r="F97" s="12">
        <v>5</v>
      </c>
      <c r="G97" s="1" t="s">
        <v>60</v>
      </c>
      <c r="H97" s="1" t="s">
        <v>93</v>
      </c>
      <c r="I97" s="12" t="s">
        <v>94</v>
      </c>
      <c r="J97" s="1" t="s">
        <v>93</v>
      </c>
      <c r="K97" s="12">
        <v>0</v>
      </c>
      <c r="L97" s="12">
        <v>0</v>
      </c>
      <c r="M97" s="12">
        <v>5</v>
      </c>
    </row>
    <row r="98" spans="1:13" ht="16.5" customHeight="1">
      <c r="A98" s="1">
        <v>3327</v>
      </c>
      <c r="B98" s="1" t="s">
        <v>189</v>
      </c>
      <c r="C98" s="1" t="s">
        <v>59</v>
      </c>
      <c r="D98" s="3">
        <v>45444</v>
      </c>
      <c r="E98" s="1" t="s">
        <v>91</v>
      </c>
      <c r="F98" s="12">
        <v>15</v>
      </c>
      <c r="G98" s="1" t="s">
        <v>52</v>
      </c>
      <c r="H98" s="1" t="s">
        <v>91</v>
      </c>
      <c r="I98" s="12">
        <v>30</v>
      </c>
      <c r="J98" s="1" t="s">
        <v>91</v>
      </c>
      <c r="K98" s="12">
        <v>20</v>
      </c>
      <c r="L98" s="12">
        <v>7</v>
      </c>
      <c r="M98" s="12">
        <v>58</v>
      </c>
    </row>
    <row r="99" spans="1:13" ht="16.5" hidden="1" customHeight="1">
      <c r="A99" s="1">
        <v>3328</v>
      </c>
      <c r="B99" s="1" t="s">
        <v>190</v>
      </c>
      <c r="C99" s="1" t="s">
        <v>55</v>
      </c>
      <c r="D99" s="3">
        <v>45445</v>
      </c>
      <c r="E99" s="1" t="s">
        <v>93</v>
      </c>
      <c r="F99" s="12">
        <v>10</v>
      </c>
      <c r="G99" s="1" t="s">
        <v>60</v>
      </c>
      <c r="H99" s="1" t="s">
        <v>93</v>
      </c>
      <c r="I99" s="12" t="s">
        <v>94</v>
      </c>
      <c r="J99" s="1" t="s">
        <v>91</v>
      </c>
      <c r="K99" s="12">
        <v>20</v>
      </c>
      <c r="L99" s="12">
        <v>10</v>
      </c>
      <c r="M99" s="12">
        <v>20</v>
      </c>
    </row>
    <row r="100" spans="1:13" ht="16.5" hidden="1" customHeight="1">
      <c r="A100" s="1">
        <v>3329</v>
      </c>
      <c r="B100" s="1" t="s">
        <v>191</v>
      </c>
      <c r="C100" s="1" t="s">
        <v>51</v>
      </c>
      <c r="D100" s="3">
        <v>45446</v>
      </c>
      <c r="E100" s="1" t="s">
        <v>91</v>
      </c>
      <c r="F100" s="12">
        <v>5</v>
      </c>
      <c r="G100" s="1" t="s">
        <v>56</v>
      </c>
      <c r="H100" s="1" t="s">
        <v>93</v>
      </c>
      <c r="I100" s="12" t="s">
        <v>94</v>
      </c>
      <c r="J100" s="1" t="s">
        <v>93</v>
      </c>
      <c r="K100" s="12">
        <v>0</v>
      </c>
      <c r="L100" s="12">
        <v>1</v>
      </c>
      <c r="M100" s="12">
        <v>4</v>
      </c>
    </row>
    <row r="101" spans="1:13" ht="16.5" customHeight="1">
      <c r="A101" s="1">
        <v>3330</v>
      </c>
      <c r="B101" s="1" t="s">
        <v>192</v>
      </c>
      <c r="C101" s="1" t="s">
        <v>59</v>
      </c>
      <c r="D101" s="3">
        <v>45447</v>
      </c>
      <c r="E101" s="1" t="s">
        <v>93</v>
      </c>
      <c r="F101" s="12">
        <v>15</v>
      </c>
      <c r="G101" s="1" t="s">
        <v>52</v>
      </c>
      <c r="H101" s="1" t="s">
        <v>91</v>
      </c>
      <c r="I101" s="12">
        <v>30</v>
      </c>
      <c r="J101" s="1" t="s">
        <v>91</v>
      </c>
      <c r="K101" s="12">
        <v>20</v>
      </c>
      <c r="L101" s="12">
        <v>15</v>
      </c>
      <c r="M101" s="12">
        <v>50</v>
      </c>
    </row>
    <row r="102" spans="1:13" ht="16.5" hidden="1" customHeight="1">
      <c r="A102" s="1">
        <v>3331</v>
      </c>
      <c r="B102" s="1" t="s">
        <v>193</v>
      </c>
      <c r="C102" s="1" t="s">
        <v>55</v>
      </c>
      <c r="D102" s="3">
        <v>45448</v>
      </c>
      <c r="E102" s="1" t="s">
        <v>91</v>
      </c>
      <c r="F102" s="12">
        <v>10</v>
      </c>
      <c r="G102" s="1" t="s">
        <v>52</v>
      </c>
      <c r="H102" s="1" t="s">
        <v>93</v>
      </c>
      <c r="I102" s="12" t="s">
        <v>94</v>
      </c>
      <c r="J102" s="1" t="s">
        <v>91</v>
      </c>
      <c r="K102" s="12">
        <v>20</v>
      </c>
      <c r="L102" s="12">
        <v>5</v>
      </c>
      <c r="M102" s="12">
        <v>25</v>
      </c>
    </row>
    <row r="103" spans="1:13" ht="16.5" hidden="1" customHeight="1">
      <c r="A103" s="1">
        <v>3332</v>
      </c>
      <c r="B103" s="1" t="s">
        <v>194</v>
      </c>
      <c r="C103" s="1" t="s">
        <v>51</v>
      </c>
      <c r="D103" s="3">
        <v>45449</v>
      </c>
      <c r="E103" s="1" t="s">
        <v>93</v>
      </c>
      <c r="F103" s="12">
        <v>5</v>
      </c>
      <c r="G103" s="1" t="s">
        <v>60</v>
      </c>
      <c r="H103" s="1" t="s">
        <v>93</v>
      </c>
      <c r="I103" s="12" t="s">
        <v>94</v>
      </c>
      <c r="J103" s="1" t="s">
        <v>93</v>
      </c>
      <c r="K103" s="12">
        <v>0</v>
      </c>
      <c r="L103" s="12">
        <v>0</v>
      </c>
      <c r="M103" s="12">
        <v>5</v>
      </c>
    </row>
    <row r="104" spans="1:13" ht="16.5" customHeight="1">
      <c r="A104" s="1">
        <v>3333</v>
      </c>
      <c r="B104" s="1" t="s">
        <v>195</v>
      </c>
      <c r="C104" s="1" t="s">
        <v>59</v>
      </c>
      <c r="D104" s="3">
        <v>45450</v>
      </c>
      <c r="E104" s="1" t="s">
        <v>91</v>
      </c>
      <c r="F104" s="12">
        <v>15</v>
      </c>
      <c r="G104" s="1" t="s">
        <v>56</v>
      </c>
      <c r="H104" s="1" t="s">
        <v>91</v>
      </c>
      <c r="I104" s="12">
        <v>30</v>
      </c>
      <c r="J104" s="1" t="s">
        <v>91</v>
      </c>
      <c r="K104" s="12">
        <v>20</v>
      </c>
      <c r="L104" s="12">
        <v>20</v>
      </c>
      <c r="M104" s="12">
        <v>45</v>
      </c>
    </row>
    <row r="105" spans="1:13" ht="16.5" hidden="1" customHeight="1">
      <c r="A105" s="1">
        <v>3334</v>
      </c>
      <c r="B105" s="1" t="s">
        <v>196</v>
      </c>
      <c r="C105" s="1" t="s">
        <v>55</v>
      </c>
      <c r="D105" s="3">
        <v>45451</v>
      </c>
      <c r="E105" s="1" t="s">
        <v>93</v>
      </c>
      <c r="F105" s="12">
        <v>10</v>
      </c>
      <c r="G105" s="1" t="s">
        <v>56</v>
      </c>
      <c r="H105" s="1" t="s">
        <v>93</v>
      </c>
      <c r="I105" s="12" t="s">
        <v>94</v>
      </c>
      <c r="J105" s="1" t="s">
        <v>91</v>
      </c>
      <c r="K105" s="12">
        <v>20</v>
      </c>
      <c r="L105" s="12">
        <v>12</v>
      </c>
      <c r="M105" s="12">
        <v>18</v>
      </c>
    </row>
    <row r="106" spans="1:13" ht="16.5" hidden="1" customHeight="1">
      <c r="A106" s="1">
        <v>3335</v>
      </c>
      <c r="B106" s="1" t="s">
        <v>197</v>
      </c>
      <c r="C106" s="1" t="s">
        <v>51</v>
      </c>
      <c r="D106" s="3">
        <v>45452</v>
      </c>
      <c r="E106" s="1" t="s">
        <v>91</v>
      </c>
      <c r="F106" s="12">
        <v>5</v>
      </c>
      <c r="G106" s="1" t="s">
        <v>52</v>
      </c>
      <c r="H106" s="1" t="s">
        <v>93</v>
      </c>
      <c r="I106" s="12" t="s">
        <v>94</v>
      </c>
      <c r="J106" s="1" t="s">
        <v>93</v>
      </c>
      <c r="K106" s="12">
        <v>0</v>
      </c>
      <c r="L106" s="12">
        <v>2</v>
      </c>
      <c r="M106" s="12">
        <v>3</v>
      </c>
    </row>
    <row r="107" spans="1:13" ht="16.5" hidden="1" customHeight="1">
      <c r="A107" s="1">
        <v>3336</v>
      </c>
      <c r="B107" s="1" t="s">
        <v>198</v>
      </c>
      <c r="C107" s="1" t="s">
        <v>51</v>
      </c>
      <c r="D107" s="3">
        <v>45453</v>
      </c>
      <c r="E107" s="1" t="s">
        <v>91</v>
      </c>
      <c r="F107" s="12">
        <v>5</v>
      </c>
      <c r="G107" s="1" t="s">
        <v>52</v>
      </c>
      <c r="H107" s="1" t="s">
        <v>93</v>
      </c>
      <c r="I107" s="12" t="s">
        <v>94</v>
      </c>
      <c r="J107" s="1" t="s">
        <v>93</v>
      </c>
      <c r="K107" s="12">
        <v>0</v>
      </c>
      <c r="L107" s="12">
        <v>0</v>
      </c>
      <c r="M107" s="12">
        <v>5</v>
      </c>
    </row>
    <row r="108" spans="1:13" ht="16.5" customHeight="1">
      <c r="A108" s="1">
        <v>3337</v>
      </c>
      <c r="B108" s="1" t="s">
        <v>199</v>
      </c>
      <c r="C108" s="1" t="s">
        <v>59</v>
      </c>
      <c r="D108" s="3">
        <v>45454</v>
      </c>
      <c r="E108" s="1" t="s">
        <v>93</v>
      </c>
      <c r="F108" s="12">
        <v>15</v>
      </c>
      <c r="G108" s="1" t="s">
        <v>56</v>
      </c>
      <c r="H108" s="1" t="s">
        <v>91</v>
      </c>
      <c r="I108" s="12">
        <v>30</v>
      </c>
      <c r="J108" s="1" t="s">
        <v>91</v>
      </c>
      <c r="K108" s="12">
        <v>20</v>
      </c>
      <c r="L108" s="12">
        <v>7</v>
      </c>
      <c r="M108" s="12">
        <v>58</v>
      </c>
    </row>
    <row r="109" spans="1:13" ht="16.5" hidden="1" customHeight="1">
      <c r="A109" s="1">
        <v>3338</v>
      </c>
      <c r="B109" s="1" t="s">
        <v>200</v>
      </c>
      <c r="C109" s="1" t="s">
        <v>55</v>
      </c>
      <c r="D109" s="3">
        <v>45455</v>
      </c>
      <c r="E109" s="1" t="s">
        <v>91</v>
      </c>
      <c r="F109" s="12">
        <v>10</v>
      </c>
      <c r="G109" s="1" t="s">
        <v>60</v>
      </c>
      <c r="H109" s="1" t="s">
        <v>93</v>
      </c>
      <c r="I109" s="12" t="s">
        <v>94</v>
      </c>
      <c r="J109" s="1" t="s">
        <v>91</v>
      </c>
      <c r="K109" s="12">
        <v>20</v>
      </c>
      <c r="L109" s="12">
        <v>10</v>
      </c>
      <c r="M109" s="12">
        <v>20</v>
      </c>
    </row>
    <row r="110" spans="1:13" ht="16.5" hidden="1" customHeight="1">
      <c r="A110" s="1">
        <v>3339</v>
      </c>
      <c r="B110" s="1" t="s">
        <v>201</v>
      </c>
      <c r="C110" s="1" t="s">
        <v>51</v>
      </c>
      <c r="D110" s="3">
        <v>45456</v>
      </c>
      <c r="E110" s="1" t="s">
        <v>93</v>
      </c>
      <c r="F110" s="12">
        <v>5</v>
      </c>
      <c r="G110" s="1" t="s">
        <v>56</v>
      </c>
      <c r="H110" s="1" t="s">
        <v>93</v>
      </c>
      <c r="I110" s="12" t="s">
        <v>94</v>
      </c>
      <c r="J110" s="1" t="s">
        <v>93</v>
      </c>
      <c r="K110" s="12">
        <v>0</v>
      </c>
      <c r="L110" s="12">
        <v>1</v>
      </c>
      <c r="M110" s="12">
        <v>4</v>
      </c>
    </row>
    <row r="111" spans="1:13" ht="16.5" customHeight="1">
      <c r="A111" s="1">
        <v>3340</v>
      </c>
      <c r="B111" s="1" t="s">
        <v>202</v>
      </c>
      <c r="C111" s="1" t="s">
        <v>59</v>
      </c>
      <c r="D111" s="3">
        <v>45457</v>
      </c>
      <c r="E111" s="1" t="s">
        <v>91</v>
      </c>
      <c r="F111" s="12">
        <v>15</v>
      </c>
      <c r="G111" s="1" t="s">
        <v>52</v>
      </c>
      <c r="H111" s="1" t="s">
        <v>91</v>
      </c>
      <c r="I111" s="12">
        <v>30</v>
      </c>
      <c r="J111" s="1" t="s">
        <v>91</v>
      </c>
      <c r="K111" s="12">
        <v>20</v>
      </c>
      <c r="L111" s="12">
        <v>15</v>
      </c>
      <c r="M111" s="12">
        <v>50</v>
      </c>
    </row>
    <row r="112" spans="1:13" ht="16.5" hidden="1" customHeight="1">
      <c r="A112" s="1">
        <v>3341</v>
      </c>
      <c r="B112" s="1" t="s">
        <v>203</v>
      </c>
      <c r="C112" s="1" t="s">
        <v>55</v>
      </c>
      <c r="D112" s="3">
        <v>45458</v>
      </c>
      <c r="E112" s="1" t="s">
        <v>93</v>
      </c>
      <c r="F112" s="12">
        <v>10</v>
      </c>
      <c r="G112" s="1" t="s">
        <v>52</v>
      </c>
      <c r="H112" s="1" t="s">
        <v>93</v>
      </c>
      <c r="I112" s="12" t="s">
        <v>94</v>
      </c>
      <c r="J112" s="1" t="s">
        <v>91</v>
      </c>
      <c r="K112" s="12">
        <v>20</v>
      </c>
      <c r="L112" s="12">
        <v>5</v>
      </c>
      <c r="M112" s="12">
        <v>25</v>
      </c>
    </row>
    <row r="113" spans="1:13" ht="16.5" hidden="1" customHeight="1">
      <c r="A113" s="1">
        <v>3342</v>
      </c>
      <c r="B113" s="1" t="s">
        <v>204</v>
      </c>
      <c r="C113" s="1" t="s">
        <v>51</v>
      </c>
      <c r="D113" s="3">
        <v>45459</v>
      </c>
      <c r="E113" s="1" t="s">
        <v>91</v>
      </c>
      <c r="F113" s="12">
        <v>5</v>
      </c>
      <c r="G113" s="1" t="s">
        <v>60</v>
      </c>
      <c r="H113" s="1" t="s">
        <v>93</v>
      </c>
      <c r="I113" s="12" t="s">
        <v>94</v>
      </c>
      <c r="J113" s="1" t="s">
        <v>93</v>
      </c>
      <c r="K113" s="12">
        <v>0</v>
      </c>
      <c r="L113" s="12">
        <v>0</v>
      </c>
      <c r="M113" s="12">
        <v>5</v>
      </c>
    </row>
    <row r="114" spans="1:13" ht="16.5" customHeight="1">
      <c r="A114" s="1">
        <v>3343</v>
      </c>
      <c r="B114" s="1" t="s">
        <v>205</v>
      </c>
      <c r="C114" s="1" t="s">
        <v>59</v>
      </c>
      <c r="D114" s="3">
        <v>45460</v>
      </c>
      <c r="E114" s="1" t="s">
        <v>93</v>
      </c>
      <c r="F114" s="12">
        <v>15</v>
      </c>
      <c r="G114" s="1" t="s">
        <v>56</v>
      </c>
      <c r="H114" s="1" t="s">
        <v>91</v>
      </c>
      <c r="I114" s="12">
        <v>30</v>
      </c>
      <c r="J114" s="1" t="s">
        <v>91</v>
      </c>
      <c r="K114" s="12">
        <v>20</v>
      </c>
      <c r="L114" s="12">
        <v>20</v>
      </c>
      <c r="M114" s="12">
        <v>45</v>
      </c>
    </row>
    <row r="115" spans="1:13" ht="16.5" hidden="1" customHeight="1">
      <c r="A115" s="1">
        <v>3344</v>
      </c>
      <c r="B115" s="1" t="s">
        <v>206</v>
      </c>
      <c r="C115" s="1" t="s">
        <v>55</v>
      </c>
      <c r="D115" s="3">
        <v>45461</v>
      </c>
      <c r="E115" s="1" t="s">
        <v>91</v>
      </c>
      <c r="F115" s="12">
        <v>10</v>
      </c>
      <c r="G115" s="1" t="s">
        <v>56</v>
      </c>
      <c r="H115" s="1" t="s">
        <v>93</v>
      </c>
      <c r="I115" s="12" t="s">
        <v>94</v>
      </c>
      <c r="J115" s="1" t="s">
        <v>91</v>
      </c>
      <c r="K115" s="12">
        <v>20</v>
      </c>
      <c r="L115" s="12">
        <v>12</v>
      </c>
      <c r="M115" s="12">
        <v>18</v>
      </c>
    </row>
    <row r="116" spans="1:13" ht="16.5" hidden="1" customHeight="1">
      <c r="A116" s="1">
        <v>3345</v>
      </c>
      <c r="B116" s="1" t="s">
        <v>207</v>
      </c>
      <c r="C116" s="1" t="s">
        <v>51</v>
      </c>
      <c r="D116" s="3">
        <v>45462</v>
      </c>
      <c r="E116" s="1" t="s">
        <v>93</v>
      </c>
      <c r="F116" s="12">
        <v>5</v>
      </c>
      <c r="G116" s="1" t="s">
        <v>52</v>
      </c>
      <c r="H116" s="1" t="s">
        <v>93</v>
      </c>
      <c r="I116" s="12" t="s">
        <v>94</v>
      </c>
      <c r="J116" s="1" t="s">
        <v>93</v>
      </c>
      <c r="K116" s="12">
        <v>0</v>
      </c>
      <c r="L116" s="12">
        <v>2</v>
      </c>
      <c r="M116" s="12">
        <v>3</v>
      </c>
    </row>
    <row r="117" spans="1:13" ht="16.5" customHeight="1">
      <c r="A117" s="1">
        <v>3346</v>
      </c>
      <c r="B117" s="1" t="s">
        <v>208</v>
      </c>
      <c r="C117" s="1" t="s">
        <v>59</v>
      </c>
      <c r="D117" s="3">
        <v>45463</v>
      </c>
      <c r="E117" s="1" t="s">
        <v>91</v>
      </c>
      <c r="F117" s="12">
        <v>15</v>
      </c>
      <c r="G117" s="1" t="s">
        <v>60</v>
      </c>
      <c r="H117" s="1" t="s">
        <v>91</v>
      </c>
      <c r="I117" s="12">
        <v>30</v>
      </c>
      <c r="J117" s="1" t="s">
        <v>91</v>
      </c>
      <c r="K117" s="12">
        <v>20</v>
      </c>
      <c r="L117" s="12">
        <v>5</v>
      </c>
      <c r="M117" s="12">
        <v>60</v>
      </c>
    </row>
    <row r="118" spans="1:13" ht="16.5" hidden="1" customHeight="1">
      <c r="A118" s="1">
        <v>3347</v>
      </c>
      <c r="B118" s="1" t="s">
        <v>209</v>
      </c>
      <c r="C118" s="1" t="s">
        <v>55</v>
      </c>
      <c r="D118" s="3">
        <v>45464</v>
      </c>
      <c r="E118" s="1" t="s">
        <v>93</v>
      </c>
      <c r="F118" s="12">
        <v>10</v>
      </c>
      <c r="G118" s="1" t="s">
        <v>52</v>
      </c>
      <c r="H118" s="1" t="s">
        <v>93</v>
      </c>
      <c r="I118" s="12" t="s">
        <v>94</v>
      </c>
      <c r="J118" s="1" t="s">
        <v>91</v>
      </c>
      <c r="K118" s="12">
        <v>20</v>
      </c>
      <c r="L118" s="12">
        <v>10</v>
      </c>
      <c r="M118" s="12">
        <v>20</v>
      </c>
    </row>
    <row r="119" spans="1:13" ht="16.5" hidden="1" customHeight="1">
      <c r="A119" s="1">
        <v>3348</v>
      </c>
      <c r="B119" s="1" t="s">
        <v>210</v>
      </c>
      <c r="C119" s="1" t="s">
        <v>51</v>
      </c>
      <c r="D119" s="3">
        <v>45465</v>
      </c>
      <c r="E119" s="1" t="s">
        <v>91</v>
      </c>
      <c r="F119" s="12">
        <v>5</v>
      </c>
      <c r="G119" s="1" t="s">
        <v>56</v>
      </c>
      <c r="H119" s="1" t="s">
        <v>93</v>
      </c>
      <c r="I119" s="12" t="s">
        <v>94</v>
      </c>
      <c r="J119" s="1" t="s">
        <v>93</v>
      </c>
      <c r="K119" s="12">
        <v>0</v>
      </c>
      <c r="L119" s="12">
        <v>0</v>
      </c>
      <c r="M119" s="12">
        <v>5</v>
      </c>
    </row>
    <row r="120" spans="1:13" ht="16.5" customHeight="1">
      <c r="A120" s="1">
        <v>3349</v>
      </c>
      <c r="B120" s="1" t="s">
        <v>186</v>
      </c>
      <c r="C120" s="1" t="s">
        <v>59</v>
      </c>
      <c r="D120" s="3">
        <v>45466</v>
      </c>
      <c r="E120" s="1" t="s">
        <v>93</v>
      </c>
      <c r="F120" s="12">
        <v>15</v>
      </c>
      <c r="G120" s="1" t="s">
        <v>52</v>
      </c>
      <c r="H120" s="1" t="s">
        <v>91</v>
      </c>
      <c r="I120" s="12">
        <v>30</v>
      </c>
      <c r="J120" s="1" t="s">
        <v>91</v>
      </c>
      <c r="K120" s="12">
        <v>20</v>
      </c>
      <c r="L120" s="12">
        <v>3</v>
      </c>
      <c r="M120" s="12">
        <v>62</v>
      </c>
    </row>
    <row r="121" spans="1:13" ht="16.5" hidden="1" customHeight="1">
      <c r="A121" s="1">
        <v>3350</v>
      </c>
      <c r="B121" s="1" t="s">
        <v>211</v>
      </c>
      <c r="C121" s="1" t="s">
        <v>55</v>
      </c>
      <c r="D121" s="3">
        <v>45467</v>
      </c>
      <c r="E121" s="1" t="s">
        <v>91</v>
      </c>
      <c r="F121" s="12">
        <v>10</v>
      </c>
      <c r="G121" s="1" t="s">
        <v>60</v>
      </c>
      <c r="H121" s="1" t="s">
        <v>93</v>
      </c>
      <c r="I121" s="12" t="s">
        <v>94</v>
      </c>
      <c r="J121" s="1" t="s">
        <v>91</v>
      </c>
      <c r="K121" s="12">
        <v>20</v>
      </c>
      <c r="L121" s="12">
        <v>15</v>
      </c>
      <c r="M121" s="12">
        <v>15</v>
      </c>
    </row>
    <row r="122" spans="1:13" ht="16.5" hidden="1" customHeight="1">
      <c r="A122" s="1">
        <v>3351</v>
      </c>
      <c r="B122" s="1" t="s">
        <v>212</v>
      </c>
      <c r="C122" s="1" t="s">
        <v>51</v>
      </c>
      <c r="D122" s="3">
        <v>45468</v>
      </c>
      <c r="E122" s="1" t="s">
        <v>93</v>
      </c>
      <c r="F122" s="12">
        <v>5</v>
      </c>
      <c r="G122" s="1" t="s">
        <v>52</v>
      </c>
      <c r="H122" s="1" t="s">
        <v>93</v>
      </c>
      <c r="I122" s="12" t="s">
        <v>94</v>
      </c>
      <c r="J122" s="1" t="s">
        <v>93</v>
      </c>
      <c r="K122" s="12">
        <v>0</v>
      </c>
      <c r="L122" s="12">
        <v>1</v>
      </c>
      <c r="M122" s="12">
        <v>4</v>
      </c>
    </row>
    <row r="123" spans="1:13" ht="16.5" customHeight="1">
      <c r="A123" s="1">
        <v>3352</v>
      </c>
      <c r="B123" s="1" t="s">
        <v>213</v>
      </c>
      <c r="C123" s="1" t="s">
        <v>59</v>
      </c>
      <c r="D123" s="3">
        <v>45469</v>
      </c>
      <c r="E123" s="1" t="s">
        <v>91</v>
      </c>
      <c r="F123" s="12">
        <v>15</v>
      </c>
      <c r="G123" s="1" t="s">
        <v>56</v>
      </c>
      <c r="H123" s="1" t="s">
        <v>91</v>
      </c>
      <c r="I123" s="12">
        <v>30</v>
      </c>
      <c r="J123" s="1" t="s">
        <v>91</v>
      </c>
      <c r="K123" s="12">
        <v>20</v>
      </c>
      <c r="L123" s="12">
        <v>7</v>
      </c>
      <c r="M123" s="12">
        <v>58</v>
      </c>
    </row>
    <row r="124" spans="1:13" ht="16.5" hidden="1" customHeight="1">
      <c r="A124" s="1">
        <v>3353</v>
      </c>
      <c r="B124" s="1" t="s">
        <v>214</v>
      </c>
      <c r="C124" s="1" t="s">
        <v>55</v>
      </c>
      <c r="D124" s="3">
        <v>45470</v>
      </c>
      <c r="E124" s="1" t="s">
        <v>93</v>
      </c>
      <c r="F124" s="12">
        <v>10</v>
      </c>
      <c r="G124" s="1" t="s">
        <v>52</v>
      </c>
      <c r="H124" s="1" t="s">
        <v>93</v>
      </c>
      <c r="I124" s="12" t="s">
        <v>94</v>
      </c>
      <c r="J124" s="1" t="s">
        <v>91</v>
      </c>
      <c r="K124" s="12">
        <v>20</v>
      </c>
      <c r="L124" s="12">
        <v>10</v>
      </c>
      <c r="M124" s="12">
        <v>20</v>
      </c>
    </row>
    <row r="125" spans="1:13" ht="16.5" hidden="1" customHeight="1">
      <c r="A125" s="1">
        <v>3354</v>
      </c>
      <c r="B125" s="1" t="s">
        <v>215</v>
      </c>
      <c r="C125" s="1" t="s">
        <v>51</v>
      </c>
      <c r="D125" s="3">
        <v>45471</v>
      </c>
      <c r="E125" s="1" t="s">
        <v>91</v>
      </c>
      <c r="F125" s="12">
        <v>5</v>
      </c>
      <c r="G125" s="1" t="s">
        <v>60</v>
      </c>
      <c r="H125" s="1" t="s">
        <v>93</v>
      </c>
      <c r="I125" s="12" t="s">
        <v>94</v>
      </c>
      <c r="J125" s="1" t="s">
        <v>93</v>
      </c>
      <c r="K125" s="12">
        <v>0</v>
      </c>
      <c r="L125" s="12">
        <v>0</v>
      </c>
      <c r="M125" s="12">
        <v>5</v>
      </c>
    </row>
    <row r="126" spans="1:13" ht="16.5" customHeight="1">
      <c r="A126" s="1">
        <v>3355</v>
      </c>
      <c r="B126" s="1" t="s">
        <v>216</v>
      </c>
      <c r="C126" s="1" t="s">
        <v>59</v>
      </c>
      <c r="D126" s="3">
        <v>45472</v>
      </c>
      <c r="E126" s="1" t="s">
        <v>93</v>
      </c>
      <c r="F126" s="12">
        <v>15</v>
      </c>
      <c r="G126" s="1" t="s">
        <v>52</v>
      </c>
      <c r="H126" s="1" t="s">
        <v>91</v>
      </c>
      <c r="I126" s="12">
        <v>30</v>
      </c>
      <c r="J126" s="1" t="s">
        <v>91</v>
      </c>
      <c r="K126" s="12">
        <v>20</v>
      </c>
      <c r="L126" s="12">
        <v>20</v>
      </c>
      <c r="M126" s="12">
        <v>45</v>
      </c>
    </row>
    <row r="127" spans="1:13" ht="16.5" hidden="1" customHeight="1">
      <c r="A127" s="1">
        <v>3356</v>
      </c>
      <c r="B127" s="1" t="s">
        <v>217</v>
      </c>
      <c r="C127" s="1" t="s">
        <v>55</v>
      </c>
      <c r="D127" s="3">
        <v>45473</v>
      </c>
      <c r="E127" s="1" t="s">
        <v>91</v>
      </c>
      <c r="F127" s="12">
        <v>10</v>
      </c>
      <c r="G127" s="1" t="s">
        <v>56</v>
      </c>
      <c r="H127" s="1" t="s">
        <v>93</v>
      </c>
      <c r="I127" s="12" t="s">
        <v>94</v>
      </c>
      <c r="J127" s="1" t="s">
        <v>91</v>
      </c>
      <c r="K127" s="12">
        <v>20</v>
      </c>
      <c r="L127" s="12">
        <v>15</v>
      </c>
      <c r="M127" s="12">
        <v>15</v>
      </c>
    </row>
    <row r="128" spans="1:13" ht="16.5" hidden="1" customHeight="1">
      <c r="A128" s="1">
        <v>3357</v>
      </c>
      <c r="B128" s="1" t="s">
        <v>218</v>
      </c>
      <c r="C128" s="1" t="s">
        <v>51</v>
      </c>
      <c r="D128" s="3">
        <v>45474</v>
      </c>
      <c r="E128" s="1" t="s">
        <v>93</v>
      </c>
      <c r="F128" s="12">
        <v>5</v>
      </c>
      <c r="G128" s="1" t="s">
        <v>52</v>
      </c>
      <c r="H128" s="1" t="s">
        <v>93</v>
      </c>
      <c r="I128" s="12" t="s">
        <v>94</v>
      </c>
      <c r="J128" s="1" t="s">
        <v>93</v>
      </c>
      <c r="K128" s="12">
        <v>0</v>
      </c>
      <c r="L128" s="12">
        <v>1</v>
      </c>
      <c r="M128" s="12">
        <v>4</v>
      </c>
    </row>
    <row r="129" spans="1:13" ht="16.5" customHeight="1">
      <c r="A129" s="1">
        <v>3358</v>
      </c>
      <c r="B129" s="1" t="s">
        <v>219</v>
      </c>
      <c r="C129" s="1" t="s">
        <v>59</v>
      </c>
      <c r="D129" s="3">
        <v>45475</v>
      </c>
      <c r="E129" s="1" t="s">
        <v>91</v>
      </c>
      <c r="F129" s="12">
        <v>15</v>
      </c>
      <c r="G129" s="1" t="s">
        <v>60</v>
      </c>
      <c r="H129" s="1" t="s">
        <v>91</v>
      </c>
      <c r="I129" s="12">
        <v>30</v>
      </c>
      <c r="J129" s="1" t="s">
        <v>91</v>
      </c>
      <c r="K129" s="12">
        <v>20</v>
      </c>
      <c r="L129" s="12">
        <v>3</v>
      </c>
      <c r="M129" s="12">
        <v>62</v>
      </c>
    </row>
    <row r="130" spans="1:13" ht="16.5" hidden="1" customHeight="1">
      <c r="A130" s="1">
        <v>3359</v>
      </c>
      <c r="B130" s="1" t="s">
        <v>220</v>
      </c>
      <c r="C130" s="1" t="s">
        <v>55</v>
      </c>
      <c r="D130" s="3">
        <v>45476</v>
      </c>
      <c r="E130" s="1" t="s">
        <v>93</v>
      </c>
      <c r="F130" s="12">
        <v>10</v>
      </c>
      <c r="G130" s="1" t="s">
        <v>52</v>
      </c>
      <c r="H130" s="1" t="s">
        <v>93</v>
      </c>
      <c r="I130" s="12" t="s">
        <v>94</v>
      </c>
      <c r="J130" s="1" t="s">
        <v>91</v>
      </c>
      <c r="K130" s="12">
        <v>20</v>
      </c>
      <c r="L130" s="12">
        <v>10</v>
      </c>
      <c r="M130" s="12">
        <v>20</v>
      </c>
    </row>
    <row r="131" spans="1:13" ht="16.5" hidden="1" customHeight="1">
      <c r="A131" s="1">
        <v>3360</v>
      </c>
      <c r="B131" s="1" t="s">
        <v>221</v>
      </c>
      <c r="C131" s="1" t="s">
        <v>51</v>
      </c>
      <c r="D131" s="3">
        <v>45477</v>
      </c>
      <c r="E131" s="1" t="s">
        <v>91</v>
      </c>
      <c r="F131" s="12">
        <v>5</v>
      </c>
      <c r="G131" s="1" t="s">
        <v>56</v>
      </c>
      <c r="H131" s="1" t="s">
        <v>93</v>
      </c>
      <c r="I131" s="12" t="s">
        <v>94</v>
      </c>
      <c r="J131" s="1" t="s">
        <v>93</v>
      </c>
      <c r="K131" s="12">
        <v>0</v>
      </c>
      <c r="L131" s="12">
        <v>0</v>
      </c>
      <c r="M131" s="12">
        <v>5</v>
      </c>
    </row>
    <row r="132" spans="1:13" ht="16.5" customHeight="1">
      <c r="A132" s="1">
        <v>3361</v>
      </c>
      <c r="B132" s="1" t="s">
        <v>222</v>
      </c>
      <c r="C132" s="1" t="s">
        <v>59</v>
      </c>
      <c r="D132" s="3">
        <v>45478</v>
      </c>
      <c r="E132" s="1" t="s">
        <v>93</v>
      </c>
      <c r="F132" s="12">
        <v>15</v>
      </c>
      <c r="G132" s="1" t="s">
        <v>52</v>
      </c>
      <c r="H132" s="1" t="s">
        <v>91</v>
      </c>
      <c r="I132" s="12">
        <v>30</v>
      </c>
      <c r="J132" s="1" t="s">
        <v>91</v>
      </c>
      <c r="K132" s="12">
        <v>20</v>
      </c>
      <c r="L132" s="12">
        <v>15</v>
      </c>
      <c r="M132" s="12">
        <v>50</v>
      </c>
    </row>
    <row r="133" spans="1:13" ht="16.5" hidden="1" customHeight="1">
      <c r="A133" s="1">
        <v>3362</v>
      </c>
      <c r="B133" s="1" t="s">
        <v>223</v>
      </c>
      <c r="C133" s="1" t="s">
        <v>55</v>
      </c>
      <c r="D133" s="3">
        <v>45479</v>
      </c>
      <c r="E133" s="1" t="s">
        <v>91</v>
      </c>
      <c r="F133" s="12">
        <v>10</v>
      </c>
      <c r="G133" s="1" t="s">
        <v>60</v>
      </c>
      <c r="H133" s="1" t="s">
        <v>93</v>
      </c>
      <c r="I133" s="12" t="s">
        <v>94</v>
      </c>
      <c r="J133" s="1" t="s">
        <v>91</v>
      </c>
      <c r="K133" s="12">
        <v>20</v>
      </c>
      <c r="L133" s="12">
        <v>15</v>
      </c>
      <c r="M133" s="12">
        <v>15</v>
      </c>
    </row>
    <row r="134" spans="1:13" ht="16.5" hidden="1" customHeight="1">
      <c r="A134" s="1">
        <v>3363</v>
      </c>
      <c r="B134" s="1" t="s">
        <v>224</v>
      </c>
      <c r="C134" s="1" t="s">
        <v>51</v>
      </c>
      <c r="D134" s="3">
        <v>45480</v>
      </c>
      <c r="E134" s="1" t="s">
        <v>93</v>
      </c>
      <c r="F134" s="12">
        <v>5</v>
      </c>
      <c r="G134" s="1" t="s">
        <v>52</v>
      </c>
      <c r="H134" s="1" t="s">
        <v>93</v>
      </c>
      <c r="I134" s="12" t="s">
        <v>94</v>
      </c>
      <c r="J134" s="1" t="s">
        <v>93</v>
      </c>
      <c r="K134" s="12">
        <v>0</v>
      </c>
      <c r="L134" s="12">
        <v>1</v>
      </c>
      <c r="M134" s="12">
        <v>4</v>
      </c>
    </row>
    <row r="135" spans="1:13" ht="16.5" customHeight="1">
      <c r="A135" s="1">
        <v>3364</v>
      </c>
      <c r="B135" s="1" t="s">
        <v>225</v>
      </c>
      <c r="C135" s="1" t="s">
        <v>59</v>
      </c>
      <c r="D135" s="3">
        <v>45481</v>
      </c>
      <c r="E135" s="1" t="s">
        <v>91</v>
      </c>
      <c r="F135" s="12">
        <v>15</v>
      </c>
      <c r="G135" s="1" t="s">
        <v>56</v>
      </c>
      <c r="H135" s="1" t="s">
        <v>91</v>
      </c>
      <c r="I135" s="12">
        <v>30</v>
      </c>
      <c r="J135" s="1" t="s">
        <v>91</v>
      </c>
      <c r="K135" s="12">
        <v>20</v>
      </c>
      <c r="L135" s="12">
        <v>7</v>
      </c>
      <c r="M135" s="12">
        <v>58</v>
      </c>
    </row>
    <row r="136" spans="1:13" ht="16.5" hidden="1" customHeight="1">
      <c r="A136" s="1">
        <v>3365</v>
      </c>
      <c r="B136" s="1" t="s">
        <v>226</v>
      </c>
      <c r="C136" s="1" t="s">
        <v>55</v>
      </c>
      <c r="D136" s="3">
        <v>45482</v>
      </c>
      <c r="E136" s="1" t="s">
        <v>93</v>
      </c>
      <c r="F136" s="12">
        <v>10</v>
      </c>
      <c r="G136" s="1" t="s">
        <v>52</v>
      </c>
      <c r="H136" s="1" t="s">
        <v>93</v>
      </c>
      <c r="I136" s="12" t="s">
        <v>94</v>
      </c>
      <c r="J136" s="1" t="s">
        <v>91</v>
      </c>
      <c r="K136" s="12">
        <v>20</v>
      </c>
      <c r="L136" s="12">
        <v>10</v>
      </c>
      <c r="M136" s="12">
        <v>20</v>
      </c>
    </row>
    <row r="137" spans="1:13" ht="16.5" hidden="1" customHeight="1">
      <c r="A137" s="1">
        <v>3366</v>
      </c>
      <c r="B137" s="1" t="s">
        <v>227</v>
      </c>
      <c r="C137" s="1" t="s">
        <v>51</v>
      </c>
      <c r="D137" s="3">
        <v>45483</v>
      </c>
      <c r="E137" s="1" t="s">
        <v>91</v>
      </c>
      <c r="F137" s="12">
        <v>5</v>
      </c>
      <c r="G137" s="1" t="s">
        <v>52</v>
      </c>
      <c r="H137" s="1" t="s">
        <v>93</v>
      </c>
      <c r="I137" s="12" t="s">
        <v>94</v>
      </c>
      <c r="J137" s="1" t="s">
        <v>93</v>
      </c>
      <c r="K137" s="12">
        <v>0</v>
      </c>
      <c r="L137" s="12">
        <v>0</v>
      </c>
      <c r="M137" s="12">
        <v>5</v>
      </c>
    </row>
    <row r="138" spans="1:13" ht="16.5" customHeight="1">
      <c r="A138" s="1">
        <v>3367</v>
      </c>
      <c r="B138" s="1" t="s">
        <v>228</v>
      </c>
      <c r="C138" s="1" t="s">
        <v>59</v>
      </c>
      <c r="D138" s="3">
        <v>45484</v>
      </c>
      <c r="E138" s="1" t="s">
        <v>93</v>
      </c>
      <c r="F138" s="12">
        <v>15</v>
      </c>
      <c r="G138" s="1" t="s">
        <v>56</v>
      </c>
      <c r="H138" s="1" t="s">
        <v>91</v>
      </c>
      <c r="I138" s="12">
        <v>30</v>
      </c>
      <c r="J138" s="1" t="s">
        <v>91</v>
      </c>
      <c r="K138" s="12">
        <v>20</v>
      </c>
      <c r="L138" s="12">
        <v>7</v>
      </c>
      <c r="M138" s="12">
        <v>58</v>
      </c>
    </row>
    <row r="139" spans="1:13" ht="16.5" hidden="1" customHeight="1">
      <c r="A139" s="1">
        <v>3368</v>
      </c>
      <c r="B139" s="1" t="s">
        <v>229</v>
      </c>
      <c r="C139" s="1" t="s">
        <v>55</v>
      </c>
      <c r="D139" s="3">
        <v>45485</v>
      </c>
      <c r="E139" s="1" t="s">
        <v>91</v>
      </c>
      <c r="F139" s="12">
        <v>10</v>
      </c>
      <c r="G139" s="1" t="s">
        <v>60</v>
      </c>
      <c r="H139" s="1" t="s">
        <v>93</v>
      </c>
      <c r="I139" s="12" t="s">
        <v>94</v>
      </c>
      <c r="J139" s="1" t="s">
        <v>91</v>
      </c>
      <c r="K139" s="12">
        <v>20</v>
      </c>
      <c r="L139" s="12">
        <v>10</v>
      </c>
      <c r="M139" s="12">
        <v>20</v>
      </c>
    </row>
    <row r="140" spans="1:13" ht="16.5" hidden="1" customHeight="1">
      <c r="A140" s="1">
        <v>3369</v>
      </c>
      <c r="B140" s="1" t="s">
        <v>230</v>
      </c>
      <c r="C140" s="1" t="s">
        <v>51</v>
      </c>
      <c r="D140" s="3">
        <v>45486</v>
      </c>
      <c r="E140" s="1" t="s">
        <v>93</v>
      </c>
      <c r="F140" s="12">
        <v>5</v>
      </c>
      <c r="G140" s="1" t="s">
        <v>56</v>
      </c>
      <c r="H140" s="1" t="s">
        <v>93</v>
      </c>
      <c r="I140" s="12" t="s">
        <v>94</v>
      </c>
      <c r="J140" s="1" t="s">
        <v>93</v>
      </c>
      <c r="K140" s="12">
        <v>0</v>
      </c>
      <c r="L140" s="12">
        <v>1</v>
      </c>
      <c r="M140" s="12">
        <v>4</v>
      </c>
    </row>
    <row r="141" spans="1:13" ht="16.5" customHeight="1">
      <c r="A141" s="1">
        <v>3370</v>
      </c>
      <c r="B141" s="1" t="s">
        <v>231</v>
      </c>
      <c r="C141" s="1" t="s">
        <v>59</v>
      </c>
      <c r="D141" s="3">
        <v>45487</v>
      </c>
      <c r="E141" s="1" t="s">
        <v>91</v>
      </c>
      <c r="F141" s="12">
        <v>15</v>
      </c>
      <c r="G141" s="1" t="s">
        <v>52</v>
      </c>
      <c r="H141" s="1" t="s">
        <v>91</v>
      </c>
      <c r="I141" s="12">
        <v>30</v>
      </c>
      <c r="J141" s="1" t="s">
        <v>91</v>
      </c>
      <c r="K141" s="12">
        <v>20</v>
      </c>
      <c r="L141" s="12">
        <v>15</v>
      </c>
      <c r="M141" s="12">
        <v>50</v>
      </c>
    </row>
    <row r="142" spans="1:13" ht="16.5" hidden="1" customHeight="1">
      <c r="A142" s="1">
        <v>3371</v>
      </c>
      <c r="B142" s="1" t="s">
        <v>232</v>
      </c>
      <c r="C142" s="1" t="s">
        <v>55</v>
      </c>
      <c r="D142" s="3">
        <v>45488</v>
      </c>
      <c r="E142" s="1" t="s">
        <v>93</v>
      </c>
      <c r="F142" s="12">
        <v>10</v>
      </c>
      <c r="G142" s="1" t="s">
        <v>52</v>
      </c>
      <c r="H142" s="1" t="s">
        <v>93</v>
      </c>
      <c r="I142" s="12" t="s">
        <v>94</v>
      </c>
      <c r="J142" s="1" t="s">
        <v>91</v>
      </c>
      <c r="K142" s="12">
        <v>20</v>
      </c>
      <c r="L142" s="12">
        <v>5</v>
      </c>
      <c r="M142" s="12">
        <v>25</v>
      </c>
    </row>
    <row r="143" spans="1:13" ht="16.5" hidden="1" customHeight="1">
      <c r="A143" s="1">
        <v>3372</v>
      </c>
      <c r="B143" s="1" t="s">
        <v>233</v>
      </c>
      <c r="C143" s="1" t="s">
        <v>51</v>
      </c>
      <c r="D143" s="3">
        <v>45489</v>
      </c>
      <c r="E143" s="1" t="s">
        <v>91</v>
      </c>
      <c r="F143" s="12">
        <v>5</v>
      </c>
      <c r="G143" s="1" t="s">
        <v>60</v>
      </c>
      <c r="H143" s="1" t="s">
        <v>93</v>
      </c>
      <c r="I143" s="12" t="s">
        <v>94</v>
      </c>
      <c r="J143" s="1" t="s">
        <v>93</v>
      </c>
      <c r="K143" s="12">
        <v>0</v>
      </c>
      <c r="L143" s="12">
        <v>0</v>
      </c>
      <c r="M143" s="12">
        <v>5</v>
      </c>
    </row>
    <row r="144" spans="1:13" ht="16.5" customHeight="1">
      <c r="A144" s="1">
        <v>3373</v>
      </c>
      <c r="B144" s="1" t="s">
        <v>234</v>
      </c>
      <c r="C144" s="1" t="s">
        <v>59</v>
      </c>
      <c r="D144" s="3">
        <v>45490</v>
      </c>
      <c r="E144" s="1" t="s">
        <v>93</v>
      </c>
      <c r="F144" s="12">
        <v>15</v>
      </c>
      <c r="G144" s="1" t="s">
        <v>56</v>
      </c>
      <c r="H144" s="1" t="s">
        <v>91</v>
      </c>
      <c r="I144" s="12">
        <v>30</v>
      </c>
      <c r="J144" s="1" t="s">
        <v>91</v>
      </c>
      <c r="K144" s="12">
        <v>20</v>
      </c>
      <c r="L144" s="12">
        <v>20</v>
      </c>
      <c r="M144" s="12">
        <v>45</v>
      </c>
    </row>
    <row r="145" spans="1:13" ht="16.5" hidden="1" customHeight="1">
      <c r="A145" s="1">
        <v>3374</v>
      </c>
      <c r="B145" s="1" t="s">
        <v>235</v>
      </c>
      <c r="C145" s="1" t="s">
        <v>55</v>
      </c>
      <c r="D145" s="3">
        <v>45491</v>
      </c>
      <c r="E145" s="1" t="s">
        <v>91</v>
      </c>
      <c r="F145" s="12">
        <v>10</v>
      </c>
      <c r="G145" s="1" t="s">
        <v>56</v>
      </c>
      <c r="H145" s="1" t="s">
        <v>93</v>
      </c>
      <c r="I145" s="12" t="s">
        <v>94</v>
      </c>
      <c r="J145" s="1" t="s">
        <v>91</v>
      </c>
      <c r="K145" s="12">
        <v>20</v>
      </c>
      <c r="L145" s="12">
        <v>12</v>
      </c>
      <c r="M145" s="12">
        <v>18</v>
      </c>
    </row>
    <row r="146" spans="1:13" ht="16.5" hidden="1" customHeight="1">
      <c r="A146" s="1">
        <v>3375</v>
      </c>
      <c r="B146" s="1" t="s">
        <v>236</v>
      </c>
      <c r="C146" s="1" t="s">
        <v>51</v>
      </c>
      <c r="D146" s="3">
        <v>45492</v>
      </c>
      <c r="E146" s="1" t="s">
        <v>93</v>
      </c>
      <c r="F146" s="12">
        <v>5</v>
      </c>
      <c r="G146" s="1" t="s">
        <v>52</v>
      </c>
      <c r="H146" s="1" t="s">
        <v>93</v>
      </c>
      <c r="I146" s="12" t="s">
        <v>94</v>
      </c>
      <c r="J146" s="1" t="s">
        <v>93</v>
      </c>
      <c r="K146" s="12">
        <v>0</v>
      </c>
      <c r="L146" s="12">
        <v>2</v>
      </c>
      <c r="M146" s="12">
        <v>3</v>
      </c>
    </row>
    <row r="147" spans="1:13" ht="16.5" customHeight="1">
      <c r="A147" s="1">
        <v>3376</v>
      </c>
      <c r="B147" s="1" t="s">
        <v>237</v>
      </c>
      <c r="C147" s="1" t="s">
        <v>59</v>
      </c>
      <c r="D147" s="3">
        <v>45493</v>
      </c>
      <c r="E147" s="1" t="s">
        <v>91</v>
      </c>
      <c r="F147" s="12">
        <v>15</v>
      </c>
      <c r="G147" s="1" t="s">
        <v>60</v>
      </c>
      <c r="H147" s="1" t="s">
        <v>91</v>
      </c>
      <c r="I147" s="12">
        <v>30</v>
      </c>
      <c r="J147" s="1" t="s">
        <v>91</v>
      </c>
      <c r="K147" s="12">
        <v>20</v>
      </c>
      <c r="L147" s="12">
        <v>5</v>
      </c>
      <c r="M147" s="12">
        <v>60</v>
      </c>
    </row>
    <row r="148" spans="1:13" ht="16.5" hidden="1" customHeight="1">
      <c r="A148" s="1">
        <v>3377</v>
      </c>
      <c r="B148" s="1" t="s">
        <v>238</v>
      </c>
      <c r="C148" s="1" t="s">
        <v>55</v>
      </c>
      <c r="D148" s="3">
        <v>45494</v>
      </c>
      <c r="E148" s="1" t="s">
        <v>93</v>
      </c>
      <c r="F148" s="12">
        <v>10</v>
      </c>
      <c r="G148" s="1" t="s">
        <v>52</v>
      </c>
      <c r="H148" s="1" t="s">
        <v>93</v>
      </c>
      <c r="I148" s="12" t="s">
        <v>94</v>
      </c>
      <c r="J148" s="1" t="s">
        <v>91</v>
      </c>
      <c r="K148" s="12">
        <v>20</v>
      </c>
      <c r="L148" s="12">
        <v>10</v>
      </c>
      <c r="M148" s="12">
        <v>20</v>
      </c>
    </row>
    <row r="149" spans="1:13" ht="16.5" hidden="1" customHeight="1">
      <c r="A149" s="1">
        <v>3378</v>
      </c>
      <c r="B149" s="1" t="s">
        <v>239</v>
      </c>
      <c r="C149" s="1" t="s">
        <v>51</v>
      </c>
      <c r="D149" s="3">
        <v>45495</v>
      </c>
      <c r="E149" s="1" t="s">
        <v>91</v>
      </c>
      <c r="F149" s="12">
        <v>5</v>
      </c>
      <c r="G149" s="1" t="s">
        <v>56</v>
      </c>
      <c r="H149" s="1" t="s">
        <v>93</v>
      </c>
      <c r="I149" s="12" t="s">
        <v>94</v>
      </c>
      <c r="J149" s="1" t="s">
        <v>93</v>
      </c>
      <c r="K149" s="12">
        <v>0</v>
      </c>
      <c r="L149" s="12">
        <v>0</v>
      </c>
      <c r="M149" s="12">
        <v>5</v>
      </c>
    </row>
    <row r="150" spans="1:13" ht="16.5" customHeight="1">
      <c r="A150" s="1">
        <v>3379</v>
      </c>
      <c r="B150" s="1" t="s">
        <v>240</v>
      </c>
      <c r="C150" s="1" t="s">
        <v>59</v>
      </c>
      <c r="D150" s="3">
        <v>45496</v>
      </c>
      <c r="E150" s="1" t="s">
        <v>93</v>
      </c>
      <c r="F150" s="12">
        <v>15</v>
      </c>
      <c r="G150" s="1" t="s">
        <v>52</v>
      </c>
      <c r="H150" s="1" t="s">
        <v>91</v>
      </c>
      <c r="I150" s="12">
        <v>30</v>
      </c>
      <c r="J150" s="1" t="s">
        <v>91</v>
      </c>
      <c r="K150" s="12">
        <v>20</v>
      </c>
      <c r="L150" s="12">
        <v>3</v>
      </c>
      <c r="M150" s="12">
        <v>62</v>
      </c>
    </row>
    <row r="151" spans="1:13" ht="16.5" hidden="1" customHeight="1">
      <c r="A151" s="1">
        <v>3380</v>
      </c>
      <c r="B151" s="1" t="s">
        <v>241</v>
      </c>
      <c r="C151" s="1" t="s">
        <v>55</v>
      </c>
      <c r="D151" s="3">
        <v>45497</v>
      </c>
      <c r="E151" s="1" t="s">
        <v>91</v>
      </c>
      <c r="F151" s="12">
        <v>10</v>
      </c>
      <c r="G151" s="1" t="s">
        <v>60</v>
      </c>
      <c r="H151" s="1" t="s">
        <v>93</v>
      </c>
      <c r="I151" s="12" t="s">
        <v>94</v>
      </c>
      <c r="J151" s="1" t="s">
        <v>91</v>
      </c>
      <c r="K151" s="12">
        <v>20</v>
      </c>
      <c r="L151" s="12">
        <v>15</v>
      </c>
      <c r="M151" s="12">
        <v>15</v>
      </c>
    </row>
    <row r="152" spans="1:13" ht="16.5" hidden="1" customHeight="1">
      <c r="A152" s="1">
        <v>3381</v>
      </c>
      <c r="B152" s="1" t="s">
        <v>242</v>
      </c>
      <c r="C152" s="1" t="s">
        <v>51</v>
      </c>
      <c r="D152" s="3">
        <v>45498</v>
      </c>
      <c r="E152" s="1" t="s">
        <v>93</v>
      </c>
      <c r="F152" s="12">
        <v>5</v>
      </c>
      <c r="G152" s="1" t="s">
        <v>52</v>
      </c>
      <c r="H152" s="1" t="s">
        <v>93</v>
      </c>
      <c r="I152" s="12" t="s">
        <v>94</v>
      </c>
      <c r="J152" s="1" t="s">
        <v>93</v>
      </c>
      <c r="K152" s="12">
        <v>0</v>
      </c>
      <c r="L152" s="12">
        <v>1</v>
      </c>
      <c r="M152" s="12">
        <v>4</v>
      </c>
    </row>
    <row r="153" spans="1:13" ht="16.5" customHeight="1">
      <c r="A153" s="1">
        <v>3382</v>
      </c>
      <c r="B153" s="1" t="s">
        <v>243</v>
      </c>
      <c r="C153" s="1" t="s">
        <v>59</v>
      </c>
      <c r="D153" s="3">
        <v>45499</v>
      </c>
      <c r="E153" s="1" t="s">
        <v>91</v>
      </c>
      <c r="F153" s="12">
        <v>15</v>
      </c>
      <c r="G153" s="1" t="s">
        <v>56</v>
      </c>
      <c r="H153" s="1" t="s">
        <v>91</v>
      </c>
      <c r="I153" s="12">
        <v>30</v>
      </c>
      <c r="J153" s="1" t="s">
        <v>91</v>
      </c>
      <c r="K153" s="12">
        <v>20</v>
      </c>
      <c r="L153" s="12">
        <v>7</v>
      </c>
      <c r="M153" s="12">
        <v>58</v>
      </c>
    </row>
    <row r="154" spans="1:13" ht="16.5" hidden="1" customHeight="1">
      <c r="A154" s="1">
        <v>3383</v>
      </c>
      <c r="B154" s="1" t="s">
        <v>244</v>
      </c>
      <c r="C154" s="1" t="s">
        <v>55</v>
      </c>
      <c r="D154" s="3">
        <v>45500</v>
      </c>
      <c r="E154" s="1" t="s">
        <v>93</v>
      </c>
      <c r="F154" s="12">
        <v>10</v>
      </c>
      <c r="G154" s="1" t="s">
        <v>52</v>
      </c>
      <c r="H154" s="1" t="s">
        <v>93</v>
      </c>
      <c r="I154" s="12" t="s">
        <v>94</v>
      </c>
      <c r="J154" s="1" t="s">
        <v>91</v>
      </c>
      <c r="K154" s="12">
        <v>20</v>
      </c>
      <c r="L154" s="12">
        <v>10</v>
      </c>
      <c r="M154" s="12">
        <v>20</v>
      </c>
    </row>
    <row r="155" spans="1:13" ht="16.5" hidden="1" customHeight="1">
      <c r="A155" s="1">
        <v>3384</v>
      </c>
      <c r="B155" s="1" t="s">
        <v>245</v>
      </c>
      <c r="C155" s="1" t="s">
        <v>51</v>
      </c>
      <c r="D155" s="3">
        <v>45501</v>
      </c>
      <c r="E155" s="1" t="s">
        <v>91</v>
      </c>
      <c r="F155" s="12">
        <v>5</v>
      </c>
      <c r="G155" s="1" t="s">
        <v>60</v>
      </c>
      <c r="H155" s="1" t="s">
        <v>93</v>
      </c>
      <c r="I155" s="12" t="s">
        <v>94</v>
      </c>
      <c r="J155" s="1" t="s">
        <v>93</v>
      </c>
      <c r="K155" s="12">
        <v>0</v>
      </c>
      <c r="L155" s="12">
        <v>0</v>
      </c>
      <c r="M155" s="12">
        <v>5</v>
      </c>
    </row>
    <row r="156" spans="1:13" ht="16.5" customHeight="1">
      <c r="A156" s="1">
        <v>3385</v>
      </c>
      <c r="B156" s="1" t="s">
        <v>246</v>
      </c>
      <c r="C156" s="1" t="s">
        <v>59</v>
      </c>
      <c r="D156" s="3">
        <v>45502</v>
      </c>
      <c r="E156" s="1" t="s">
        <v>93</v>
      </c>
      <c r="F156" s="12">
        <v>15</v>
      </c>
      <c r="G156" s="1" t="s">
        <v>52</v>
      </c>
      <c r="H156" s="1" t="s">
        <v>91</v>
      </c>
      <c r="I156" s="12">
        <v>30</v>
      </c>
      <c r="J156" s="1" t="s">
        <v>91</v>
      </c>
      <c r="K156" s="12">
        <v>20</v>
      </c>
      <c r="L156" s="12">
        <v>20</v>
      </c>
      <c r="M156" s="12">
        <v>45</v>
      </c>
    </row>
    <row r="157" spans="1:13" ht="16.5" hidden="1" customHeight="1">
      <c r="A157" s="1">
        <v>3386</v>
      </c>
      <c r="B157" s="1" t="s">
        <v>247</v>
      </c>
      <c r="C157" s="1" t="s">
        <v>55</v>
      </c>
      <c r="D157" s="3">
        <v>45503</v>
      </c>
      <c r="E157" s="1" t="s">
        <v>91</v>
      </c>
      <c r="F157" s="12">
        <v>10</v>
      </c>
      <c r="G157" s="1" t="s">
        <v>56</v>
      </c>
      <c r="H157" s="1" t="s">
        <v>93</v>
      </c>
      <c r="I157" s="12" t="s">
        <v>94</v>
      </c>
      <c r="J157" s="1" t="s">
        <v>91</v>
      </c>
      <c r="K157" s="12">
        <v>20</v>
      </c>
      <c r="L157" s="12">
        <v>15</v>
      </c>
      <c r="M157" s="12">
        <v>15</v>
      </c>
    </row>
    <row r="158" spans="1:13" ht="16.5" hidden="1" customHeight="1">
      <c r="A158" s="1">
        <v>3387</v>
      </c>
      <c r="B158" s="1" t="s">
        <v>248</v>
      </c>
      <c r="C158" s="1" t="s">
        <v>51</v>
      </c>
      <c r="D158" s="3">
        <v>45504</v>
      </c>
      <c r="E158" s="1" t="s">
        <v>93</v>
      </c>
      <c r="F158" s="12">
        <v>5</v>
      </c>
      <c r="G158" s="1" t="s">
        <v>52</v>
      </c>
      <c r="H158" s="1" t="s">
        <v>93</v>
      </c>
      <c r="I158" s="12" t="s">
        <v>94</v>
      </c>
      <c r="J158" s="1" t="s">
        <v>93</v>
      </c>
      <c r="K158" s="12">
        <v>0</v>
      </c>
      <c r="L158" s="12">
        <v>1</v>
      </c>
      <c r="M158" s="12">
        <v>4</v>
      </c>
    </row>
    <row r="159" spans="1:13" ht="16.5" customHeight="1">
      <c r="A159" s="1">
        <v>3388</v>
      </c>
      <c r="B159" s="1" t="s">
        <v>249</v>
      </c>
      <c r="C159" s="1" t="s">
        <v>59</v>
      </c>
      <c r="D159" s="3">
        <v>45505</v>
      </c>
      <c r="E159" s="1" t="s">
        <v>91</v>
      </c>
      <c r="F159" s="12">
        <v>15</v>
      </c>
      <c r="G159" s="1" t="s">
        <v>60</v>
      </c>
      <c r="H159" s="1" t="s">
        <v>91</v>
      </c>
      <c r="I159" s="12">
        <v>30</v>
      </c>
      <c r="J159" s="1" t="s">
        <v>91</v>
      </c>
      <c r="K159" s="12">
        <v>20</v>
      </c>
      <c r="L159" s="12">
        <v>3</v>
      </c>
      <c r="M159" s="12">
        <v>62</v>
      </c>
    </row>
    <row r="160" spans="1:13" ht="16.5" hidden="1" customHeight="1">
      <c r="A160" s="1">
        <v>3389</v>
      </c>
      <c r="B160" s="1" t="s">
        <v>250</v>
      </c>
      <c r="C160" s="1" t="s">
        <v>55</v>
      </c>
      <c r="D160" s="3">
        <v>45506</v>
      </c>
      <c r="E160" s="1" t="s">
        <v>93</v>
      </c>
      <c r="F160" s="12">
        <v>10</v>
      </c>
      <c r="G160" s="1" t="s">
        <v>52</v>
      </c>
      <c r="H160" s="1" t="s">
        <v>93</v>
      </c>
      <c r="I160" s="12" t="s">
        <v>94</v>
      </c>
      <c r="J160" s="1" t="s">
        <v>91</v>
      </c>
      <c r="K160" s="12">
        <v>20</v>
      </c>
      <c r="L160" s="12">
        <v>10</v>
      </c>
      <c r="M160" s="12">
        <v>20</v>
      </c>
    </row>
    <row r="161" spans="1:13" ht="16.5" hidden="1" customHeight="1">
      <c r="A161" s="1">
        <v>3390</v>
      </c>
      <c r="B161" s="1" t="s">
        <v>251</v>
      </c>
      <c r="C161" s="1" t="s">
        <v>51</v>
      </c>
      <c r="D161" s="3">
        <v>45507</v>
      </c>
      <c r="E161" s="1" t="s">
        <v>91</v>
      </c>
      <c r="F161" s="12">
        <v>5</v>
      </c>
      <c r="G161" s="1" t="s">
        <v>56</v>
      </c>
      <c r="H161" s="1" t="s">
        <v>93</v>
      </c>
      <c r="I161" s="12" t="s">
        <v>94</v>
      </c>
      <c r="J161" s="1" t="s">
        <v>93</v>
      </c>
      <c r="K161" s="12">
        <v>0</v>
      </c>
      <c r="L161" s="12">
        <v>0</v>
      </c>
      <c r="M161" s="12">
        <v>5</v>
      </c>
    </row>
    <row r="162" spans="1:13" ht="16.5" customHeight="1">
      <c r="A162" s="1">
        <v>3391</v>
      </c>
      <c r="B162" s="1" t="s">
        <v>151</v>
      </c>
      <c r="C162" s="1" t="s">
        <v>59</v>
      </c>
      <c r="D162" s="3">
        <v>45508</v>
      </c>
      <c r="E162" s="1" t="s">
        <v>93</v>
      </c>
      <c r="F162" s="12">
        <v>15</v>
      </c>
      <c r="G162" s="1" t="s">
        <v>52</v>
      </c>
      <c r="H162" s="1" t="s">
        <v>91</v>
      </c>
      <c r="I162" s="12">
        <v>30</v>
      </c>
      <c r="J162" s="1" t="s">
        <v>91</v>
      </c>
      <c r="K162" s="12">
        <v>20</v>
      </c>
      <c r="L162" s="12">
        <v>15</v>
      </c>
      <c r="M162" s="12">
        <v>50</v>
      </c>
    </row>
    <row r="163" spans="1:13" ht="16.5" hidden="1" customHeight="1">
      <c r="A163" s="1">
        <v>3392</v>
      </c>
      <c r="B163" s="1" t="s">
        <v>252</v>
      </c>
      <c r="C163" s="1" t="s">
        <v>55</v>
      </c>
      <c r="D163" s="3">
        <v>45509</v>
      </c>
      <c r="E163" s="1" t="s">
        <v>91</v>
      </c>
      <c r="F163" s="12">
        <v>10</v>
      </c>
      <c r="G163" s="1" t="s">
        <v>60</v>
      </c>
      <c r="H163" s="1" t="s">
        <v>93</v>
      </c>
      <c r="I163" s="12" t="s">
        <v>94</v>
      </c>
      <c r="J163" s="1" t="s">
        <v>91</v>
      </c>
      <c r="K163" s="12">
        <v>20</v>
      </c>
      <c r="L163" s="12">
        <v>15</v>
      </c>
      <c r="M163" s="12">
        <v>15</v>
      </c>
    </row>
    <row r="164" spans="1:13" ht="16.5" hidden="1" customHeight="1">
      <c r="A164" s="1">
        <v>3393</v>
      </c>
      <c r="B164" s="1" t="s">
        <v>253</v>
      </c>
      <c r="C164" s="1" t="s">
        <v>51</v>
      </c>
      <c r="D164" s="3">
        <v>45510</v>
      </c>
      <c r="E164" s="1" t="s">
        <v>93</v>
      </c>
      <c r="F164" s="12">
        <v>5</v>
      </c>
      <c r="G164" s="1" t="s">
        <v>52</v>
      </c>
      <c r="H164" s="1" t="s">
        <v>93</v>
      </c>
      <c r="I164" s="12" t="s">
        <v>94</v>
      </c>
      <c r="J164" s="1" t="s">
        <v>93</v>
      </c>
      <c r="K164" s="12">
        <v>0</v>
      </c>
      <c r="L164" s="12">
        <v>1</v>
      </c>
      <c r="M164" s="12">
        <v>4</v>
      </c>
    </row>
    <row r="165" spans="1:13" ht="16.5" customHeight="1">
      <c r="A165" s="1">
        <v>3394</v>
      </c>
      <c r="B165" s="1" t="s">
        <v>254</v>
      </c>
      <c r="C165" s="1" t="s">
        <v>59</v>
      </c>
      <c r="D165" s="3">
        <v>45511</v>
      </c>
      <c r="E165" s="1" t="s">
        <v>91</v>
      </c>
      <c r="F165" s="12">
        <v>15</v>
      </c>
      <c r="G165" s="1" t="s">
        <v>56</v>
      </c>
      <c r="H165" s="1" t="s">
        <v>91</v>
      </c>
      <c r="I165" s="12">
        <v>30</v>
      </c>
      <c r="J165" s="1" t="s">
        <v>91</v>
      </c>
      <c r="K165" s="12">
        <v>20</v>
      </c>
      <c r="L165" s="12">
        <v>7</v>
      </c>
      <c r="M165" s="12">
        <v>58</v>
      </c>
    </row>
    <row r="166" spans="1:13" ht="16.5" hidden="1" customHeight="1">
      <c r="A166" s="1">
        <v>3395</v>
      </c>
      <c r="B166" s="1" t="s">
        <v>255</v>
      </c>
      <c r="C166" s="1" t="s">
        <v>55</v>
      </c>
      <c r="D166" s="3">
        <v>45512</v>
      </c>
      <c r="E166" s="1" t="s">
        <v>93</v>
      </c>
      <c r="F166" s="12">
        <v>10</v>
      </c>
      <c r="G166" s="1" t="s">
        <v>52</v>
      </c>
      <c r="H166" s="1" t="s">
        <v>93</v>
      </c>
      <c r="I166" s="12" t="s">
        <v>94</v>
      </c>
      <c r="J166" s="1" t="s">
        <v>91</v>
      </c>
      <c r="K166" s="12">
        <v>20</v>
      </c>
      <c r="L166" s="12">
        <v>10</v>
      </c>
      <c r="M166" s="12">
        <v>20</v>
      </c>
    </row>
    <row r="167" spans="1:13" ht="16.5" hidden="1" customHeight="1">
      <c r="A167" s="1">
        <v>3396</v>
      </c>
      <c r="B167" s="1" t="s">
        <v>256</v>
      </c>
      <c r="C167" s="1" t="s">
        <v>51</v>
      </c>
      <c r="D167" s="3">
        <v>45513</v>
      </c>
      <c r="E167" s="1" t="s">
        <v>91</v>
      </c>
      <c r="F167" s="12">
        <v>5</v>
      </c>
      <c r="G167" s="1" t="s">
        <v>60</v>
      </c>
      <c r="H167" s="1" t="s">
        <v>93</v>
      </c>
      <c r="I167" s="12" t="s">
        <v>94</v>
      </c>
      <c r="J167" s="1" t="s">
        <v>93</v>
      </c>
      <c r="K167" s="12">
        <v>0</v>
      </c>
      <c r="L167" s="12">
        <v>0</v>
      </c>
      <c r="M167" s="12">
        <v>5</v>
      </c>
    </row>
    <row r="168" spans="1:13" ht="16.5" customHeight="1">
      <c r="A168" s="1">
        <v>3397</v>
      </c>
      <c r="B168" s="1" t="s">
        <v>183</v>
      </c>
      <c r="C168" s="1" t="s">
        <v>59</v>
      </c>
      <c r="D168" s="3">
        <v>45514</v>
      </c>
      <c r="E168" s="1" t="s">
        <v>93</v>
      </c>
      <c r="F168" s="12">
        <v>15</v>
      </c>
      <c r="G168" s="1" t="s">
        <v>52</v>
      </c>
      <c r="H168" s="1" t="s">
        <v>91</v>
      </c>
      <c r="I168" s="12">
        <v>30</v>
      </c>
      <c r="J168" s="1" t="s">
        <v>91</v>
      </c>
      <c r="K168" s="12">
        <v>20</v>
      </c>
      <c r="L168" s="12">
        <v>20</v>
      </c>
      <c r="M168" s="12">
        <v>45</v>
      </c>
    </row>
    <row r="169" spans="1:13" ht="16.5" hidden="1" customHeight="1">
      <c r="A169" s="1">
        <v>3398</v>
      </c>
      <c r="B169" s="1" t="s">
        <v>257</v>
      </c>
      <c r="C169" s="1" t="s">
        <v>55</v>
      </c>
      <c r="D169" s="3">
        <v>45515</v>
      </c>
      <c r="E169" s="1" t="s">
        <v>91</v>
      </c>
      <c r="F169" s="12">
        <v>10</v>
      </c>
      <c r="G169" s="1" t="s">
        <v>56</v>
      </c>
      <c r="H169" s="1" t="s">
        <v>93</v>
      </c>
      <c r="I169" s="12" t="s">
        <v>94</v>
      </c>
      <c r="J169" s="1" t="s">
        <v>91</v>
      </c>
      <c r="K169" s="12">
        <v>20</v>
      </c>
      <c r="L169" s="12">
        <v>15</v>
      </c>
      <c r="M169" s="12">
        <v>15</v>
      </c>
    </row>
    <row r="170" spans="1:13" ht="16.5" hidden="1" customHeight="1">
      <c r="A170" s="1">
        <v>3399</v>
      </c>
      <c r="B170" s="1" t="s">
        <v>258</v>
      </c>
      <c r="C170" s="1" t="s">
        <v>51</v>
      </c>
      <c r="D170" s="3">
        <v>45516</v>
      </c>
      <c r="E170" s="1" t="s">
        <v>93</v>
      </c>
      <c r="F170" s="12">
        <v>5</v>
      </c>
      <c r="G170" s="1" t="s">
        <v>52</v>
      </c>
      <c r="H170" s="1" t="s">
        <v>93</v>
      </c>
      <c r="I170" s="12" t="s">
        <v>94</v>
      </c>
      <c r="J170" s="1" t="s">
        <v>93</v>
      </c>
      <c r="K170" s="12">
        <v>0</v>
      </c>
      <c r="L170" s="12">
        <v>1</v>
      </c>
      <c r="M170" s="12">
        <v>4</v>
      </c>
    </row>
    <row r="171" spans="1:13" ht="16.5" customHeight="1">
      <c r="A171" s="1">
        <v>3400</v>
      </c>
      <c r="B171" s="1" t="s">
        <v>259</v>
      </c>
      <c r="C171" s="1" t="s">
        <v>59</v>
      </c>
      <c r="D171" s="3">
        <v>45517</v>
      </c>
      <c r="E171" s="1" t="s">
        <v>91</v>
      </c>
      <c r="F171" s="12">
        <v>15</v>
      </c>
      <c r="G171" s="1" t="s">
        <v>60</v>
      </c>
      <c r="H171" s="1" t="s">
        <v>91</v>
      </c>
      <c r="I171" s="12">
        <v>30</v>
      </c>
      <c r="J171" s="1" t="s">
        <v>91</v>
      </c>
      <c r="K171" s="12">
        <v>20</v>
      </c>
      <c r="L171" s="12">
        <v>5</v>
      </c>
      <c r="M171" s="12">
        <v>60</v>
      </c>
    </row>
    <row r="172" spans="1:13" ht="16.5" hidden="1" customHeight="1">
      <c r="A172" s="1">
        <v>3401</v>
      </c>
      <c r="B172" s="1" t="s">
        <v>260</v>
      </c>
      <c r="C172" s="1" t="s">
        <v>55</v>
      </c>
      <c r="D172" s="3">
        <v>45518</v>
      </c>
      <c r="E172" s="1" t="s">
        <v>93</v>
      </c>
      <c r="F172" s="12">
        <v>10</v>
      </c>
      <c r="G172" s="1" t="s">
        <v>52</v>
      </c>
      <c r="H172" s="1" t="s">
        <v>93</v>
      </c>
      <c r="I172" s="12" t="s">
        <v>94</v>
      </c>
      <c r="J172" s="1" t="s">
        <v>91</v>
      </c>
      <c r="K172" s="12">
        <v>20</v>
      </c>
      <c r="L172" s="12">
        <v>10</v>
      </c>
      <c r="M172" s="12">
        <v>20</v>
      </c>
    </row>
    <row r="173" spans="1:13" ht="16.5" hidden="1" customHeight="1">
      <c r="A173" s="1">
        <v>3402</v>
      </c>
      <c r="B173" s="1" t="s">
        <v>261</v>
      </c>
      <c r="C173" s="1" t="s">
        <v>51</v>
      </c>
      <c r="D173" s="3">
        <v>45519</v>
      </c>
      <c r="E173" s="1" t="s">
        <v>91</v>
      </c>
      <c r="F173" s="12">
        <v>5</v>
      </c>
      <c r="G173" s="1" t="s">
        <v>56</v>
      </c>
      <c r="H173" s="1" t="s">
        <v>93</v>
      </c>
      <c r="I173" s="12" t="s">
        <v>94</v>
      </c>
      <c r="J173" s="1" t="s">
        <v>93</v>
      </c>
      <c r="K173" s="12">
        <v>0</v>
      </c>
      <c r="L173" s="12">
        <v>0</v>
      </c>
      <c r="M173" s="12">
        <v>5</v>
      </c>
    </row>
    <row r="174" spans="1:13" ht="16.5" customHeight="1">
      <c r="A174" s="1">
        <v>3403</v>
      </c>
      <c r="B174" s="1" t="s">
        <v>262</v>
      </c>
      <c r="C174" s="1" t="s">
        <v>59</v>
      </c>
      <c r="D174" s="3">
        <v>45520</v>
      </c>
      <c r="E174" s="1" t="s">
        <v>93</v>
      </c>
      <c r="F174" s="12">
        <v>15</v>
      </c>
      <c r="G174" s="1" t="s">
        <v>52</v>
      </c>
      <c r="H174" s="1" t="s">
        <v>91</v>
      </c>
      <c r="I174" s="12">
        <v>30</v>
      </c>
      <c r="J174" s="1" t="s">
        <v>91</v>
      </c>
      <c r="K174" s="12">
        <v>20</v>
      </c>
      <c r="L174" s="12">
        <v>3</v>
      </c>
      <c r="M174" s="12">
        <v>62</v>
      </c>
    </row>
    <row r="175" spans="1:13" ht="16.5" hidden="1" customHeight="1">
      <c r="A175" s="1">
        <v>3404</v>
      </c>
      <c r="B175" s="1" t="s">
        <v>263</v>
      </c>
      <c r="C175" s="1" t="s">
        <v>55</v>
      </c>
      <c r="D175" s="3">
        <v>45521</v>
      </c>
      <c r="E175" s="1" t="s">
        <v>91</v>
      </c>
      <c r="F175" s="12">
        <v>10</v>
      </c>
      <c r="G175" s="1" t="s">
        <v>60</v>
      </c>
      <c r="H175" s="1" t="s">
        <v>93</v>
      </c>
      <c r="I175" s="12" t="s">
        <v>94</v>
      </c>
      <c r="J175" s="1" t="s">
        <v>91</v>
      </c>
      <c r="K175" s="12">
        <v>20</v>
      </c>
      <c r="L175" s="12">
        <v>15</v>
      </c>
      <c r="M175" s="12">
        <v>15</v>
      </c>
    </row>
    <row r="176" spans="1:13" ht="16.5" hidden="1" customHeight="1">
      <c r="A176" s="1">
        <v>3405</v>
      </c>
      <c r="B176" s="1" t="s">
        <v>264</v>
      </c>
      <c r="C176" s="1" t="s">
        <v>51</v>
      </c>
      <c r="D176" s="3">
        <v>45522</v>
      </c>
      <c r="E176" s="1" t="s">
        <v>93</v>
      </c>
      <c r="F176" s="12">
        <v>5</v>
      </c>
      <c r="G176" s="1" t="s">
        <v>52</v>
      </c>
      <c r="H176" s="1" t="s">
        <v>93</v>
      </c>
      <c r="I176" s="12" t="s">
        <v>94</v>
      </c>
      <c r="J176" s="1" t="s">
        <v>93</v>
      </c>
      <c r="K176" s="12">
        <v>0</v>
      </c>
      <c r="L176" s="12">
        <v>1</v>
      </c>
      <c r="M176" s="12">
        <v>4</v>
      </c>
    </row>
    <row r="177" spans="1:13" ht="16.5" hidden="1" customHeight="1">
      <c r="A177" s="1">
        <v>3406</v>
      </c>
      <c r="B177" s="1" t="s">
        <v>265</v>
      </c>
      <c r="C177" s="1" t="s">
        <v>51</v>
      </c>
      <c r="D177" s="3">
        <v>45523</v>
      </c>
      <c r="E177" s="1" t="s">
        <v>91</v>
      </c>
      <c r="F177" s="12">
        <v>5</v>
      </c>
      <c r="G177" s="1" t="s">
        <v>52</v>
      </c>
      <c r="H177" s="1" t="s">
        <v>93</v>
      </c>
      <c r="I177" s="12" t="s">
        <v>94</v>
      </c>
      <c r="J177" s="1" t="s">
        <v>93</v>
      </c>
      <c r="K177" s="12">
        <v>0</v>
      </c>
      <c r="L177" s="12">
        <v>0</v>
      </c>
      <c r="M177" s="12">
        <v>5</v>
      </c>
    </row>
    <row r="178" spans="1:13" ht="16.5" customHeight="1">
      <c r="A178" s="1">
        <v>3407</v>
      </c>
      <c r="B178" s="1" t="s">
        <v>266</v>
      </c>
      <c r="C178" s="1" t="s">
        <v>59</v>
      </c>
      <c r="D178" s="3">
        <v>45524</v>
      </c>
      <c r="E178" s="1" t="s">
        <v>93</v>
      </c>
      <c r="F178" s="12">
        <v>15</v>
      </c>
      <c r="G178" s="1" t="s">
        <v>56</v>
      </c>
      <c r="H178" s="1" t="s">
        <v>91</v>
      </c>
      <c r="I178" s="12">
        <v>30</v>
      </c>
      <c r="J178" s="1" t="s">
        <v>91</v>
      </c>
      <c r="K178" s="12">
        <v>20</v>
      </c>
      <c r="L178" s="12">
        <v>7</v>
      </c>
      <c r="M178" s="12">
        <v>58</v>
      </c>
    </row>
    <row r="179" spans="1:13" ht="16.5" hidden="1" customHeight="1">
      <c r="A179" s="1">
        <v>3408</v>
      </c>
      <c r="B179" s="1" t="s">
        <v>267</v>
      </c>
      <c r="C179" s="1" t="s">
        <v>55</v>
      </c>
      <c r="D179" s="3">
        <v>45525</v>
      </c>
      <c r="E179" s="1" t="s">
        <v>91</v>
      </c>
      <c r="F179" s="12">
        <v>10</v>
      </c>
      <c r="G179" s="1" t="s">
        <v>60</v>
      </c>
      <c r="H179" s="1" t="s">
        <v>93</v>
      </c>
      <c r="I179" s="12" t="s">
        <v>94</v>
      </c>
      <c r="J179" s="1" t="s">
        <v>91</v>
      </c>
      <c r="K179" s="12">
        <v>20</v>
      </c>
      <c r="L179" s="12">
        <v>10</v>
      </c>
      <c r="M179" s="12">
        <v>20</v>
      </c>
    </row>
    <row r="180" spans="1:13" ht="16.5" hidden="1" customHeight="1">
      <c r="A180" s="1">
        <v>3409</v>
      </c>
      <c r="B180" s="1" t="s">
        <v>268</v>
      </c>
      <c r="C180" s="1" t="s">
        <v>51</v>
      </c>
      <c r="D180" s="3">
        <v>45526</v>
      </c>
      <c r="E180" s="1" t="s">
        <v>93</v>
      </c>
      <c r="F180" s="12">
        <v>5</v>
      </c>
      <c r="G180" s="1" t="s">
        <v>56</v>
      </c>
      <c r="H180" s="1" t="s">
        <v>93</v>
      </c>
      <c r="I180" s="12" t="s">
        <v>94</v>
      </c>
      <c r="J180" s="1" t="s">
        <v>93</v>
      </c>
      <c r="K180" s="12">
        <v>0</v>
      </c>
      <c r="L180" s="12">
        <v>1</v>
      </c>
      <c r="M180" s="12">
        <v>4</v>
      </c>
    </row>
    <row r="181" spans="1:13" ht="16.5" customHeight="1">
      <c r="A181" s="1">
        <v>3410</v>
      </c>
      <c r="B181" s="1" t="s">
        <v>269</v>
      </c>
      <c r="C181" s="1" t="s">
        <v>59</v>
      </c>
      <c r="D181" s="3">
        <v>45527</v>
      </c>
      <c r="E181" s="1" t="s">
        <v>91</v>
      </c>
      <c r="F181" s="12">
        <v>15</v>
      </c>
      <c r="G181" s="1" t="s">
        <v>52</v>
      </c>
      <c r="H181" s="1" t="s">
        <v>91</v>
      </c>
      <c r="I181" s="12">
        <v>30</v>
      </c>
      <c r="J181" s="1" t="s">
        <v>91</v>
      </c>
      <c r="K181" s="12">
        <v>20</v>
      </c>
      <c r="L181" s="12">
        <v>15</v>
      </c>
      <c r="M181" s="12">
        <v>50</v>
      </c>
    </row>
    <row r="182" spans="1:13" ht="16.5" hidden="1" customHeight="1">
      <c r="A182" s="1">
        <v>3411</v>
      </c>
      <c r="B182" s="1" t="s">
        <v>270</v>
      </c>
      <c r="C182" s="1" t="s">
        <v>55</v>
      </c>
      <c r="D182" s="3">
        <v>45528</v>
      </c>
      <c r="E182" s="1" t="s">
        <v>93</v>
      </c>
      <c r="F182" s="12">
        <v>10</v>
      </c>
      <c r="G182" s="1" t="s">
        <v>52</v>
      </c>
      <c r="H182" s="1" t="s">
        <v>93</v>
      </c>
      <c r="I182" s="12" t="s">
        <v>94</v>
      </c>
      <c r="J182" s="1" t="s">
        <v>91</v>
      </c>
      <c r="K182" s="12">
        <v>20</v>
      </c>
      <c r="L182" s="12">
        <v>5</v>
      </c>
      <c r="M182" s="12">
        <v>25</v>
      </c>
    </row>
    <row r="183" spans="1:13" ht="16.5" hidden="1" customHeight="1">
      <c r="A183" s="1">
        <v>3412</v>
      </c>
      <c r="B183" s="1" t="s">
        <v>271</v>
      </c>
      <c r="C183" s="1" t="s">
        <v>51</v>
      </c>
      <c r="D183" s="3">
        <v>45529</v>
      </c>
      <c r="E183" s="1" t="s">
        <v>91</v>
      </c>
      <c r="F183" s="12">
        <v>5</v>
      </c>
      <c r="G183" s="1" t="s">
        <v>60</v>
      </c>
      <c r="H183" s="1" t="s">
        <v>93</v>
      </c>
      <c r="I183" s="12" t="s">
        <v>94</v>
      </c>
      <c r="J183" s="1" t="s">
        <v>93</v>
      </c>
      <c r="K183" s="12">
        <v>0</v>
      </c>
      <c r="L183" s="12">
        <v>0</v>
      </c>
      <c r="M183" s="12">
        <v>5</v>
      </c>
    </row>
    <row r="184" spans="1:13" ht="16.5" customHeight="1">
      <c r="A184" s="1">
        <v>3413</v>
      </c>
      <c r="B184" s="1" t="s">
        <v>272</v>
      </c>
      <c r="C184" s="1" t="s">
        <v>59</v>
      </c>
      <c r="D184" s="3">
        <v>45530</v>
      </c>
      <c r="E184" s="1" t="s">
        <v>93</v>
      </c>
      <c r="F184" s="12">
        <v>15</v>
      </c>
      <c r="G184" s="1" t="s">
        <v>56</v>
      </c>
      <c r="H184" s="1" t="s">
        <v>91</v>
      </c>
      <c r="I184" s="12">
        <v>30</v>
      </c>
      <c r="J184" s="1" t="s">
        <v>91</v>
      </c>
      <c r="K184" s="12">
        <v>20</v>
      </c>
      <c r="L184" s="12">
        <v>20</v>
      </c>
      <c r="M184" s="12">
        <v>45</v>
      </c>
    </row>
    <row r="185" spans="1:13" ht="16.5" hidden="1" customHeight="1">
      <c r="A185" s="1">
        <v>3414</v>
      </c>
      <c r="B185" s="1" t="s">
        <v>273</v>
      </c>
      <c r="C185" s="1" t="s">
        <v>55</v>
      </c>
      <c r="D185" s="3">
        <v>45531</v>
      </c>
      <c r="E185" s="1" t="s">
        <v>91</v>
      </c>
      <c r="F185" s="12">
        <v>10</v>
      </c>
      <c r="G185" s="1" t="s">
        <v>56</v>
      </c>
      <c r="H185" s="1" t="s">
        <v>93</v>
      </c>
      <c r="I185" s="12" t="s">
        <v>94</v>
      </c>
      <c r="J185" s="1" t="s">
        <v>91</v>
      </c>
      <c r="K185" s="12">
        <v>20</v>
      </c>
      <c r="L185" s="12">
        <v>12</v>
      </c>
      <c r="M185" s="12">
        <v>18</v>
      </c>
    </row>
    <row r="186" spans="1:13" ht="16.5" hidden="1" customHeight="1">
      <c r="A186" s="1">
        <v>3415</v>
      </c>
      <c r="B186" s="1" t="s">
        <v>274</v>
      </c>
      <c r="C186" s="1" t="s">
        <v>51</v>
      </c>
      <c r="D186" s="3">
        <v>45532</v>
      </c>
      <c r="E186" s="1" t="s">
        <v>93</v>
      </c>
      <c r="F186" s="12">
        <v>5</v>
      </c>
      <c r="G186" s="1" t="s">
        <v>52</v>
      </c>
      <c r="H186" s="1" t="s">
        <v>93</v>
      </c>
      <c r="I186" s="12" t="s">
        <v>94</v>
      </c>
      <c r="J186" s="1" t="s">
        <v>93</v>
      </c>
      <c r="K186" s="12">
        <v>0</v>
      </c>
      <c r="L186" s="12">
        <v>2</v>
      </c>
      <c r="M186" s="12">
        <v>3</v>
      </c>
    </row>
    <row r="187" spans="1:13" ht="16.5" customHeight="1">
      <c r="A187" s="1">
        <v>3416</v>
      </c>
      <c r="B187" s="1" t="s">
        <v>275</v>
      </c>
      <c r="C187" s="1" t="s">
        <v>59</v>
      </c>
      <c r="D187" s="3">
        <v>45533</v>
      </c>
      <c r="E187" s="1" t="s">
        <v>91</v>
      </c>
      <c r="F187" s="12">
        <v>15</v>
      </c>
      <c r="G187" s="1" t="s">
        <v>60</v>
      </c>
      <c r="H187" s="1" t="s">
        <v>91</v>
      </c>
      <c r="I187" s="12">
        <v>30</v>
      </c>
      <c r="J187" s="1" t="s">
        <v>91</v>
      </c>
      <c r="K187" s="12">
        <v>20</v>
      </c>
      <c r="L187" s="12">
        <v>5</v>
      </c>
      <c r="M187" s="12">
        <v>60</v>
      </c>
    </row>
    <row r="188" spans="1:13" ht="16.5" hidden="1" customHeight="1">
      <c r="A188" s="1">
        <v>3417</v>
      </c>
      <c r="B188" s="1" t="s">
        <v>276</v>
      </c>
      <c r="C188" s="1" t="s">
        <v>55</v>
      </c>
      <c r="D188" s="3">
        <v>45534</v>
      </c>
      <c r="E188" s="1" t="s">
        <v>93</v>
      </c>
      <c r="F188" s="12">
        <v>10</v>
      </c>
      <c r="G188" s="1" t="s">
        <v>52</v>
      </c>
      <c r="H188" s="1" t="s">
        <v>93</v>
      </c>
      <c r="I188" s="12" t="s">
        <v>94</v>
      </c>
      <c r="J188" s="1" t="s">
        <v>91</v>
      </c>
      <c r="K188" s="12">
        <v>20</v>
      </c>
      <c r="L188" s="12">
        <v>10</v>
      </c>
      <c r="M188" s="12">
        <v>20</v>
      </c>
    </row>
    <row r="189" spans="1:13" ht="16.5" hidden="1" customHeight="1">
      <c r="A189" s="1">
        <v>3418</v>
      </c>
      <c r="B189" s="1" t="s">
        <v>277</v>
      </c>
      <c r="C189" s="1" t="s">
        <v>51</v>
      </c>
      <c r="D189" s="3">
        <v>45535</v>
      </c>
      <c r="E189" s="1" t="s">
        <v>91</v>
      </c>
      <c r="F189" s="12">
        <v>5</v>
      </c>
      <c r="G189" s="1" t="s">
        <v>56</v>
      </c>
      <c r="H189" s="1" t="s">
        <v>93</v>
      </c>
      <c r="I189" s="12" t="s">
        <v>94</v>
      </c>
      <c r="J189" s="1" t="s">
        <v>93</v>
      </c>
      <c r="K189" s="12">
        <v>0</v>
      </c>
      <c r="L189" s="12">
        <v>0</v>
      </c>
      <c r="M189" s="12">
        <v>5</v>
      </c>
    </row>
    <row r="190" spans="1:13" ht="16.5" customHeight="1">
      <c r="A190" s="1">
        <v>3419</v>
      </c>
      <c r="B190" s="1" t="s">
        <v>278</v>
      </c>
      <c r="C190" s="1" t="s">
        <v>59</v>
      </c>
      <c r="D190" s="3">
        <v>45536</v>
      </c>
      <c r="E190" s="1" t="s">
        <v>93</v>
      </c>
      <c r="F190" s="12">
        <v>15</v>
      </c>
      <c r="G190" s="1" t="s">
        <v>52</v>
      </c>
      <c r="H190" s="1" t="s">
        <v>91</v>
      </c>
      <c r="I190" s="12">
        <v>30</v>
      </c>
      <c r="J190" s="1" t="s">
        <v>91</v>
      </c>
      <c r="K190" s="12">
        <v>20</v>
      </c>
      <c r="L190" s="12">
        <v>3</v>
      </c>
      <c r="M190" s="12">
        <v>62</v>
      </c>
    </row>
    <row r="191" spans="1:13" ht="16.5" hidden="1" customHeight="1">
      <c r="A191" s="1">
        <v>3420</v>
      </c>
      <c r="B191" s="1" t="s">
        <v>279</v>
      </c>
      <c r="C191" s="1" t="s">
        <v>55</v>
      </c>
      <c r="D191" s="3">
        <v>45537</v>
      </c>
      <c r="E191" s="1" t="s">
        <v>91</v>
      </c>
      <c r="F191" s="12">
        <v>10</v>
      </c>
      <c r="G191" s="1" t="s">
        <v>60</v>
      </c>
      <c r="H191" s="1" t="s">
        <v>93</v>
      </c>
      <c r="I191" s="12" t="s">
        <v>94</v>
      </c>
      <c r="J191" s="1" t="s">
        <v>91</v>
      </c>
      <c r="K191" s="12">
        <v>20</v>
      </c>
      <c r="L191" s="12">
        <v>15</v>
      </c>
      <c r="M191" s="12">
        <v>15</v>
      </c>
    </row>
    <row r="192" spans="1:13" ht="16.5" hidden="1" customHeight="1">
      <c r="A192" s="1">
        <v>3421</v>
      </c>
      <c r="B192" s="1" t="s">
        <v>108</v>
      </c>
      <c r="C192" s="1" t="s">
        <v>51</v>
      </c>
      <c r="D192" s="3">
        <v>45538</v>
      </c>
      <c r="E192" s="1" t="s">
        <v>93</v>
      </c>
      <c r="F192" s="12">
        <v>5</v>
      </c>
      <c r="G192" s="1" t="s">
        <v>52</v>
      </c>
      <c r="H192" s="1" t="s">
        <v>93</v>
      </c>
      <c r="I192" s="12" t="s">
        <v>94</v>
      </c>
      <c r="J192" s="1" t="s">
        <v>93</v>
      </c>
      <c r="K192" s="12">
        <v>0</v>
      </c>
      <c r="L192" s="12">
        <v>1</v>
      </c>
      <c r="M192" s="12">
        <v>4</v>
      </c>
    </row>
    <row r="193" spans="1:13" ht="16.5" customHeight="1">
      <c r="A193" s="1">
        <v>3422</v>
      </c>
      <c r="B193" s="1" t="s">
        <v>280</v>
      </c>
      <c r="C193" s="1" t="s">
        <v>59</v>
      </c>
      <c r="D193" s="3">
        <v>45539</v>
      </c>
      <c r="E193" s="1" t="s">
        <v>91</v>
      </c>
      <c r="F193" s="12">
        <v>15</v>
      </c>
      <c r="G193" s="1" t="s">
        <v>56</v>
      </c>
      <c r="H193" s="1" t="s">
        <v>91</v>
      </c>
      <c r="I193" s="12">
        <v>30</v>
      </c>
      <c r="J193" s="1" t="s">
        <v>91</v>
      </c>
      <c r="K193" s="12">
        <v>20</v>
      </c>
      <c r="L193" s="12">
        <v>7</v>
      </c>
      <c r="M193" s="12">
        <v>58</v>
      </c>
    </row>
    <row r="194" spans="1:13" ht="16.5" hidden="1" customHeight="1">
      <c r="A194" s="1">
        <v>3423</v>
      </c>
      <c r="B194" s="1" t="s">
        <v>281</v>
      </c>
      <c r="C194" s="1" t="s">
        <v>55</v>
      </c>
      <c r="D194" s="3">
        <v>45540</v>
      </c>
      <c r="E194" s="1" t="s">
        <v>93</v>
      </c>
      <c r="F194" s="12">
        <v>10</v>
      </c>
      <c r="G194" s="1" t="s">
        <v>52</v>
      </c>
      <c r="H194" s="1" t="s">
        <v>93</v>
      </c>
      <c r="I194" s="12" t="s">
        <v>94</v>
      </c>
      <c r="J194" s="1" t="s">
        <v>91</v>
      </c>
      <c r="K194" s="12">
        <v>20</v>
      </c>
      <c r="L194" s="12">
        <v>10</v>
      </c>
      <c r="M194" s="12">
        <v>20</v>
      </c>
    </row>
    <row r="195" spans="1:13" ht="16.5" hidden="1" customHeight="1">
      <c r="A195" s="1">
        <v>3424</v>
      </c>
      <c r="B195" s="1" t="s">
        <v>107</v>
      </c>
      <c r="C195" s="1" t="s">
        <v>51</v>
      </c>
      <c r="D195" s="3">
        <v>45541</v>
      </c>
      <c r="E195" s="1" t="s">
        <v>91</v>
      </c>
      <c r="F195" s="12">
        <v>5</v>
      </c>
      <c r="G195" s="1" t="s">
        <v>60</v>
      </c>
      <c r="H195" s="1" t="s">
        <v>93</v>
      </c>
      <c r="I195" s="12" t="s">
        <v>94</v>
      </c>
      <c r="J195" s="1" t="s">
        <v>93</v>
      </c>
      <c r="K195" s="12">
        <v>0</v>
      </c>
      <c r="L195" s="12">
        <v>0</v>
      </c>
      <c r="M195" s="12">
        <v>5</v>
      </c>
    </row>
    <row r="196" spans="1:13" ht="16.5" customHeight="1">
      <c r="A196" s="1">
        <v>3425</v>
      </c>
      <c r="B196" s="1" t="s">
        <v>282</v>
      </c>
      <c r="C196" s="1" t="s">
        <v>59</v>
      </c>
      <c r="D196" s="3">
        <v>45542</v>
      </c>
      <c r="E196" s="1" t="s">
        <v>93</v>
      </c>
      <c r="F196" s="12">
        <v>15</v>
      </c>
      <c r="G196" s="1" t="s">
        <v>52</v>
      </c>
      <c r="H196" s="1" t="s">
        <v>91</v>
      </c>
      <c r="I196" s="12">
        <v>30</v>
      </c>
      <c r="J196" s="1" t="s">
        <v>91</v>
      </c>
      <c r="K196" s="12">
        <v>20</v>
      </c>
      <c r="L196" s="12">
        <v>20</v>
      </c>
      <c r="M196" s="12">
        <v>45</v>
      </c>
    </row>
    <row r="197" spans="1:13" ht="16.5" hidden="1" customHeight="1">
      <c r="A197" s="1">
        <v>3426</v>
      </c>
      <c r="B197" s="1" t="s">
        <v>260</v>
      </c>
      <c r="C197" s="1" t="s">
        <v>55</v>
      </c>
      <c r="D197" s="3">
        <v>45543</v>
      </c>
      <c r="E197" s="1" t="s">
        <v>91</v>
      </c>
      <c r="F197" s="12">
        <v>10</v>
      </c>
      <c r="G197" s="1" t="s">
        <v>56</v>
      </c>
      <c r="H197" s="1" t="s">
        <v>93</v>
      </c>
      <c r="I197" s="12" t="s">
        <v>94</v>
      </c>
      <c r="J197" s="1" t="s">
        <v>91</v>
      </c>
      <c r="K197" s="12">
        <v>20</v>
      </c>
      <c r="L197" s="12">
        <v>15</v>
      </c>
      <c r="M197" s="12">
        <v>15</v>
      </c>
    </row>
    <row r="198" spans="1:13" ht="16.5" hidden="1" customHeight="1">
      <c r="A198" s="1">
        <v>3427</v>
      </c>
      <c r="B198" s="1" t="s">
        <v>283</v>
      </c>
      <c r="C198" s="1" t="s">
        <v>51</v>
      </c>
      <c r="D198" s="3">
        <v>45544</v>
      </c>
      <c r="E198" s="1" t="s">
        <v>93</v>
      </c>
      <c r="F198" s="12">
        <v>5</v>
      </c>
      <c r="G198" s="1" t="s">
        <v>52</v>
      </c>
      <c r="H198" s="1" t="s">
        <v>93</v>
      </c>
      <c r="I198" s="12" t="s">
        <v>94</v>
      </c>
      <c r="J198" s="1" t="s">
        <v>93</v>
      </c>
      <c r="K198" s="12">
        <v>0</v>
      </c>
      <c r="L198" s="12">
        <v>1</v>
      </c>
      <c r="M198" s="12">
        <v>4</v>
      </c>
    </row>
    <row r="199" spans="1:13" ht="16.5" customHeight="1">
      <c r="A199" s="1">
        <v>3428</v>
      </c>
      <c r="B199" s="1" t="s">
        <v>284</v>
      </c>
      <c r="C199" s="1" t="s">
        <v>59</v>
      </c>
      <c r="D199" s="3">
        <v>45545</v>
      </c>
      <c r="E199" s="1" t="s">
        <v>91</v>
      </c>
      <c r="F199" s="12">
        <v>15</v>
      </c>
      <c r="G199" s="1" t="s">
        <v>60</v>
      </c>
      <c r="H199" s="1" t="s">
        <v>91</v>
      </c>
      <c r="I199" s="12">
        <v>30</v>
      </c>
      <c r="J199" s="1" t="s">
        <v>91</v>
      </c>
      <c r="K199" s="12">
        <v>20</v>
      </c>
      <c r="L199" s="12">
        <v>3</v>
      </c>
      <c r="M199" s="12">
        <v>62</v>
      </c>
    </row>
    <row r="200" spans="1:13" ht="16.5" hidden="1" customHeight="1">
      <c r="A200" s="1">
        <v>3429</v>
      </c>
      <c r="B200" s="1" t="s">
        <v>285</v>
      </c>
      <c r="C200" s="1" t="s">
        <v>55</v>
      </c>
      <c r="D200" s="3">
        <v>45546</v>
      </c>
      <c r="E200" s="1" t="s">
        <v>93</v>
      </c>
      <c r="F200" s="12">
        <v>10</v>
      </c>
      <c r="G200" s="1" t="s">
        <v>52</v>
      </c>
      <c r="H200" s="1" t="s">
        <v>93</v>
      </c>
      <c r="I200" s="12" t="s">
        <v>94</v>
      </c>
      <c r="J200" s="1" t="s">
        <v>91</v>
      </c>
      <c r="K200" s="12">
        <v>20</v>
      </c>
      <c r="L200" s="12">
        <v>10</v>
      </c>
      <c r="M200" s="12">
        <v>20</v>
      </c>
    </row>
    <row r="201" spans="1:13" ht="16.5" hidden="1" customHeight="1">
      <c r="A201" s="1">
        <v>3430</v>
      </c>
      <c r="B201" s="1" t="s">
        <v>286</v>
      </c>
      <c r="C201" s="1" t="s">
        <v>51</v>
      </c>
      <c r="D201" s="3">
        <v>45547</v>
      </c>
      <c r="E201" s="1" t="s">
        <v>91</v>
      </c>
      <c r="F201" s="12">
        <v>5</v>
      </c>
      <c r="G201" s="1" t="s">
        <v>56</v>
      </c>
      <c r="H201" s="1" t="s">
        <v>93</v>
      </c>
      <c r="I201" s="12" t="s">
        <v>94</v>
      </c>
      <c r="J201" s="1" t="s">
        <v>93</v>
      </c>
      <c r="K201" s="12">
        <v>0</v>
      </c>
      <c r="L201" s="12">
        <v>0</v>
      </c>
      <c r="M201" s="12">
        <v>5</v>
      </c>
    </row>
    <row r="202" spans="1:13" ht="16.5" customHeight="1">
      <c r="A202" s="1">
        <v>3431</v>
      </c>
      <c r="B202" s="1" t="s">
        <v>287</v>
      </c>
      <c r="C202" s="1" t="s">
        <v>59</v>
      </c>
      <c r="D202" s="3">
        <v>45548</v>
      </c>
      <c r="E202" s="1" t="s">
        <v>93</v>
      </c>
      <c r="F202" s="12">
        <v>15</v>
      </c>
      <c r="G202" s="1" t="s">
        <v>52</v>
      </c>
      <c r="H202" s="1" t="s">
        <v>91</v>
      </c>
      <c r="I202" s="12">
        <v>30</v>
      </c>
      <c r="J202" s="1" t="s">
        <v>91</v>
      </c>
      <c r="K202" s="12">
        <v>20</v>
      </c>
      <c r="L202" s="12">
        <v>15</v>
      </c>
      <c r="M202" s="12">
        <v>50</v>
      </c>
    </row>
    <row r="203" spans="1:13" ht="16.5" hidden="1" customHeight="1">
      <c r="A203" s="1">
        <v>3432</v>
      </c>
      <c r="B203" s="1" t="s">
        <v>288</v>
      </c>
      <c r="C203" s="1" t="s">
        <v>55</v>
      </c>
      <c r="D203" s="3">
        <v>45549</v>
      </c>
      <c r="E203" s="1" t="s">
        <v>91</v>
      </c>
      <c r="F203" s="12">
        <v>10</v>
      </c>
      <c r="G203" s="1" t="s">
        <v>60</v>
      </c>
      <c r="H203" s="1" t="s">
        <v>93</v>
      </c>
      <c r="I203" s="12" t="s">
        <v>94</v>
      </c>
      <c r="J203" s="1" t="s">
        <v>91</v>
      </c>
      <c r="K203" s="12">
        <v>20</v>
      </c>
      <c r="L203" s="12">
        <v>15</v>
      </c>
      <c r="M203" s="12">
        <v>15</v>
      </c>
    </row>
    <row r="204" spans="1:13" ht="16.5" hidden="1" customHeight="1">
      <c r="A204" s="1">
        <v>3433</v>
      </c>
      <c r="B204" s="1" t="s">
        <v>289</v>
      </c>
      <c r="C204" s="1" t="s">
        <v>51</v>
      </c>
      <c r="D204" s="3">
        <v>45550</v>
      </c>
      <c r="E204" s="1" t="s">
        <v>93</v>
      </c>
      <c r="F204" s="12">
        <v>5</v>
      </c>
      <c r="G204" s="1" t="s">
        <v>52</v>
      </c>
      <c r="H204" s="1" t="s">
        <v>93</v>
      </c>
      <c r="I204" s="12" t="s">
        <v>94</v>
      </c>
      <c r="J204" s="1" t="s">
        <v>93</v>
      </c>
      <c r="K204" s="12">
        <v>0</v>
      </c>
      <c r="L204" s="12">
        <v>1</v>
      </c>
      <c r="M204" s="12">
        <v>4</v>
      </c>
    </row>
    <row r="205" spans="1:13" ht="16.5" customHeight="1">
      <c r="A205" s="1">
        <v>3434</v>
      </c>
      <c r="B205" s="1" t="s">
        <v>290</v>
      </c>
      <c r="C205" s="1" t="s">
        <v>59</v>
      </c>
      <c r="D205" s="3">
        <v>45551</v>
      </c>
      <c r="E205" s="1" t="s">
        <v>91</v>
      </c>
      <c r="F205" s="12">
        <v>15</v>
      </c>
      <c r="G205" s="1" t="s">
        <v>56</v>
      </c>
      <c r="H205" s="1" t="s">
        <v>91</v>
      </c>
      <c r="I205" s="12">
        <v>30</v>
      </c>
      <c r="J205" s="1" t="s">
        <v>91</v>
      </c>
      <c r="K205" s="12">
        <v>20</v>
      </c>
      <c r="L205" s="12">
        <v>7</v>
      </c>
      <c r="M205" s="12">
        <v>58</v>
      </c>
    </row>
    <row r="206" spans="1:13" ht="16.5" hidden="1" customHeight="1">
      <c r="A206" s="1">
        <v>3435</v>
      </c>
      <c r="B206" s="1" t="s">
        <v>291</v>
      </c>
      <c r="C206" s="1" t="s">
        <v>55</v>
      </c>
      <c r="D206" s="3">
        <v>45552</v>
      </c>
      <c r="E206" s="1" t="s">
        <v>93</v>
      </c>
      <c r="F206" s="12">
        <v>10</v>
      </c>
      <c r="G206" s="1" t="s">
        <v>52</v>
      </c>
      <c r="H206" s="1" t="s">
        <v>93</v>
      </c>
      <c r="I206" s="12" t="s">
        <v>94</v>
      </c>
      <c r="J206" s="1" t="s">
        <v>91</v>
      </c>
      <c r="K206" s="12">
        <v>20</v>
      </c>
      <c r="L206" s="12">
        <v>10</v>
      </c>
      <c r="M206" s="12">
        <v>20</v>
      </c>
    </row>
    <row r="207" spans="1:13" ht="16.5" hidden="1" customHeight="1">
      <c r="A207" s="1">
        <v>3436</v>
      </c>
      <c r="B207" s="1" t="s">
        <v>292</v>
      </c>
      <c r="C207" s="1" t="s">
        <v>51</v>
      </c>
      <c r="D207" s="3">
        <v>45553</v>
      </c>
      <c r="E207" s="1" t="s">
        <v>91</v>
      </c>
      <c r="F207" s="12">
        <v>5</v>
      </c>
      <c r="G207" s="1" t="s">
        <v>52</v>
      </c>
      <c r="H207" s="1" t="s">
        <v>93</v>
      </c>
      <c r="I207" s="12" t="s">
        <v>94</v>
      </c>
      <c r="J207" s="1" t="s">
        <v>93</v>
      </c>
      <c r="K207" s="12">
        <v>0</v>
      </c>
      <c r="L207" s="12">
        <v>0</v>
      </c>
      <c r="M207" s="12">
        <v>5</v>
      </c>
    </row>
    <row r="208" spans="1:13" ht="16.5" customHeight="1">
      <c r="A208" s="1">
        <v>3437</v>
      </c>
      <c r="B208" s="1" t="s">
        <v>293</v>
      </c>
      <c r="C208" s="1" t="s">
        <v>59</v>
      </c>
      <c r="D208" s="3">
        <v>45554</v>
      </c>
      <c r="E208" s="1" t="s">
        <v>93</v>
      </c>
      <c r="F208" s="12">
        <v>15</v>
      </c>
      <c r="G208" s="1" t="s">
        <v>56</v>
      </c>
      <c r="H208" s="1" t="s">
        <v>91</v>
      </c>
      <c r="I208" s="12">
        <v>30</v>
      </c>
      <c r="J208" s="1" t="s">
        <v>91</v>
      </c>
      <c r="K208" s="12">
        <v>20</v>
      </c>
      <c r="L208" s="12">
        <v>7</v>
      </c>
      <c r="M208" s="12">
        <v>58</v>
      </c>
    </row>
    <row r="209" spans="1:13" ht="16.5" hidden="1" customHeight="1">
      <c r="A209" s="1">
        <v>3438</v>
      </c>
      <c r="B209" s="1" t="s">
        <v>294</v>
      </c>
      <c r="C209" s="1" t="s">
        <v>55</v>
      </c>
      <c r="D209" s="3">
        <v>45555</v>
      </c>
      <c r="E209" s="1" t="s">
        <v>91</v>
      </c>
      <c r="F209" s="12">
        <v>10</v>
      </c>
      <c r="G209" s="1" t="s">
        <v>60</v>
      </c>
      <c r="H209" s="1" t="s">
        <v>93</v>
      </c>
      <c r="I209" s="12" t="s">
        <v>94</v>
      </c>
      <c r="J209" s="1" t="s">
        <v>91</v>
      </c>
      <c r="K209" s="12">
        <v>20</v>
      </c>
      <c r="L209" s="12">
        <v>10</v>
      </c>
      <c r="M209" s="12">
        <v>20</v>
      </c>
    </row>
    <row r="210" spans="1:13" ht="16.5" hidden="1" customHeight="1">
      <c r="A210" s="1">
        <v>3439</v>
      </c>
      <c r="B210" s="1" t="s">
        <v>295</v>
      </c>
      <c r="C210" s="1" t="s">
        <v>51</v>
      </c>
      <c r="D210" s="3">
        <v>45556</v>
      </c>
      <c r="E210" s="1" t="s">
        <v>93</v>
      </c>
      <c r="F210" s="12">
        <v>5</v>
      </c>
      <c r="G210" s="1" t="s">
        <v>56</v>
      </c>
      <c r="H210" s="1" t="s">
        <v>93</v>
      </c>
      <c r="I210" s="12" t="s">
        <v>94</v>
      </c>
      <c r="J210" s="1" t="s">
        <v>93</v>
      </c>
      <c r="K210" s="12">
        <v>0</v>
      </c>
      <c r="L210" s="12">
        <v>1</v>
      </c>
      <c r="M210" s="12">
        <v>4</v>
      </c>
    </row>
    <row r="211" spans="1:13" ht="16.5" customHeight="1">
      <c r="A211" s="1">
        <v>3440</v>
      </c>
      <c r="B211" s="1" t="s">
        <v>296</v>
      </c>
      <c r="C211" s="1" t="s">
        <v>59</v>
      </c>
      <c r="D211" s="3">
        <v>45557</v>
      </c>
      <c r="E211" s="1" t="s">
        <v>91</v>
      </c>
      <c r="F211" s="12">
        <v>15</v>
      </c>
      <c r="G211" s="1" t="s">
        <v>52</v>
      </c>
      <c r="H211" s="1" t="s">
        <v>91</v>
      </c>
      <c r="I211" s="12">
        <v>30</v>
      </c>
      <c r="J211" s="1" t="s">
        <v>91</v>
      </c>
      <c r="K211" s="12">
        <v>20</v>
      </c>
      <c r="L211" s="12">
        <v>15</v>
      </c>
      <c r="M211" s="12">
        <v>50</v>
      </c>
    </row>
    <row r="212" spans="1:13" ht="16.5" hidden="1" customHeight="1">
      <c r="A212" s="1">
        <v>3441</v>
      </c>
      <c r="B212" s="1" t="s">
        <v>297</v>
      </c>
      <c r="C212" s="1" t="s">
        <v>55</v>
      </c>
      <c r="D212" s="3">
        <v>45558</v>
      </c>
      <c r="E212" s="1" t="s">
        <v>93</v>
      </c>
      <c r="F212" s="12">
        <v>10</v>
      </c>
      <c r="G212" s="1" t="s">
        <v>52</v>
      </c>
      <c r="H212" s="1" t="s">
        <v>93</v>
      </c>
      <c r="I212" s="12" t="s">
        <v>94</v>
      </c>
      <c r="J212" s="1" t="s">
        <v>91</v>
      </c>
      <c r="K212" s="12">
        <v>20</v>
      </c>
      <c r="L212" s="12">
        <v>5</v>
      </c>
      <c r="M212" s="12">
        <v>25</v>
      </c>
    </row>
    <row r="213" spans="1:13" ht="16.5" hidden="1" customHeight="1">
      <c r="A213" s="1">
        <v>3442</v>
      </c>
      <c r="B213" s="1" t="s">
        <v>298</v>
      </c>
      <c r="C213" s="1" t="s">
        <v>51</v>
      </c>
      <c r="D213" s="3">
        <v>45559</v>
      </c>
      <c r="E213" s="1" t="s">
        <v>91</v>
      </c>
      <c r="F213" s="12">
        <v>5</v>
      </c>
      <c r="G213" s="1" t="s">
        <v>60</v>
      </c>
      <c r="H213" s="1" t="s">
        <v>93</v>
      </c>
      <c r="I213" s="12" t="s">
        <v>94</v>
      </c>
      <c r="J213" s="1" t="s">
        <v>93</v>
      </c>
      <c r="K213" s="12">
        <v>0</v>
      </c>
      <c r="L213" s="12">
        <v>0</v>
      </c>
      <c r="M213" s="12">
        <v>5</v>
      </c>
    </row>
    <row r="214" spans="1:13" ht="16.5" customHeight="1">
      <c r="A214" s="1">
        <v>3443</v>
      </c>
      <c r="B214" s="1" t="s">
        <v>299</v>
      </c>
      <c r="C214" s="1" t="s">
        <v>59</v>
      </c>
      <c r="D214" s="3">
        <v>45560</v>
      </c>
      <c r="E214" s="1" t="s">
        <v>93</v>
      </c>
      <c r="F214" s="12">
        <v>15</v>
      </c>
      <c r="G214" s="1" t="s">
        <v>56</v>
      </c>
      <c r="H214" s="1" t="s">
        <v>91</v>
      </c>
      <c r="I214" s="12">
        <v>30</v>
      </c>
      <c r="J214" s="1" t="s">
        <v>91</v>
      </c>
      <c r="K214" s="12">
        <v>20</v>
      </c>
      <c r="L214" s="12">
        <v>20</v>
      </c>
      <c r="M214" s="12">
        <v>45</v>
      </c>
    </row>
    <row r="215" spans="1:13" ht="16.5" hidden="1" customHeight="1">
      <c r="A215" s="1">
        <v>3444</v>
      </c>
      <c r="B215" s="1" t="s">
        <v>300</v>
      </c>
      <c r="C215" s="1" t="s">
        <v>55</v>
      </c>
      <c r="D215" s="3">
        <v>45561</v>
      </c>
      <c r="E215" s="1" t="s">
        <v>91</v>
      </c>
      <c r="F215" s="12">
        <v>10</v>
      </c>
      <c r="G215" s="1" t="s">
        <v>56</v>
      </c>
      <c r="H215" s="1" t="s">
        <v>93</v>
      </c>
      <c r="I215" s="12" t="s">
        <v>94</v>
      </c>
      <c r="J215" s="1" t="s">
        <v>91</v>
      </c>
      <c r="K215" s="12">
        <v>20</v>
      </c>
      <c r="L215" s="12">
        <v>12</v>
      </c>
      <c r="M215" s="12">
        <v>18</v>
      </c>
    </row>
    <row r="216" spans="1:13" ht="16.5" hidden="1" customHeight="1">
      <c r="A216" s="1">
        <v>3445</v>
      </c>
      <c r="B216" s="1" t="s">
        <v>130</v>
      </c>
      <c r="C216" s="1" t="s">
        <v>51</v>
      </c>
      <c r="D216" s="3">
        <v>45562</v>
      </c>
      <c r="E216" s="1" t="s">
        <v>93</v>
      </c>
      <c r="F216" s="12">
        <v>5</v>
      </c>
      <c r="G216" s="1" t="s">
        <v>52</v>
      </c>
      <c r="H216" s="1" t="s">
        <v>93</v>
      </c>
      <c r="I216" s="12" t="s">
        <v>94</v>
      </c>
      <c r="J216" s="1" t="s">
        <v>93</v>
      </c>
      <c r="K216" s="12">
        <v>0</v>
      </c>
      <c r="L216" s="12">
        <v>2</v>
      </c>
      <c r="M216" s="12">
        <v>3</v>
      </c>
    </row>
    <row r="217" spans="1:13" ht="16.5" customHeight="1">
      <c r="A217" s="1">
        <v>3446</v>
      </c>
      <c r="B217" s="1" t="s">
        <v>301</v>
      </c>
      <c r="C217" s="1" t="s">
        <v>59</v>
      </c>
      <c r="D217" s="3">
        <v>45563</v>
      </c>
      <c r="E217" s="1" t="s">
        <v>91</v>
      </c>
      <c r="F217" s="12">
        <v>15</v>
      </c>
      <c r="G217" s="1" t="s">
        <v>60</v>
      </c>
      <c r="H217" s="1" t="s">
        <v>91</v>
      </c>
      <c r="I217" s="12">
        <v>30</v>
      </c>
      <c r="J217" s="1" t="s">
        <v>91</v>
      </c>
      <c r="K217" s="12">
        <v>20</v>
      </c>
      <c r="L217" s="12">
        <v>5</v>
      </c>
      <c r="M217" s="12">
        <v>60</v>
      </c>
    </row>
    <row r="218" spans="1:13" ht="16.5" hidden="1" customHeight="1">
      <c r="A218" s="1">
        <v>3447</v>
      </c>
      <c r="B218" s="1" t="s">
        <v>302</v>
      </c>
      <c r="C218" s="1" t="s">
        <v>55</v>
      </c>
      <c r="D218" s="3">
        <v>45564</v>
      </c>
      <c r="E218" s="1" t="s">
        <v>93</v>
      </c>
      <c r="F218" s="12">
        <v>10</v>
      </c>
      <c r="G218" s="1" t="s">
        <v>52</v>
      </c>
      <c r="H218" s="1" t="s">
        <v>93</v>
      </c>
      <c r="I218" s="12" t="s">
        <v>94</v>
      </c>
      <c r="J218" s="1" t="s">
        <v>91</v>
      </c>
      <c r="K218" s="12">
        <v>20</v>
      </c>
      <c r="L218" s="12">
        <v>10</v>
      </c>
      <c r="M218" s="12">
        <v>20</v>
      </c>
    </row>
    <row r="219" spans="1:13" ht="16.5" hidden="1" customHeight="1">
      <c r="A219" s="1">
        <v>3448</v>
      </c>
      <c r="B219" s="1" t="s">
        <v>303</v>
      </c>
      <c r="C219" s="1" t="s">
        <v>51</v>
      </c>
      <c r="D219" s="3">
        <v>45565</v>
      </c>
      <c r="E219" s="1" t="s">
        <v>91</v>
      </c>
      <c r="F219" s="12">
        <v>5</v>
      </c>
      <c r="G219" s="1" t="s">
        <v>56</v>
      </c>
      <c r="H219" s="1" t="s">
        <v>93</v>
      </c>
      <c r="I219" s="12" t="s">
        <v>94</v>
      </c>
      <c r="J219" s="1" t="s">
        <v>93</v>
      </c>
      <c r="K219" s="12">
        <v>0</v>
      </c>
      <c r="L219" s="12">
        <v>0</v>
      </c>
      <c r="M219" s="12">
        <v>5</v>
      </c>
    </row>
    <row r="220" spans="1:13" ht="16.5" customHeight="1">
      <c r="A220" s="1">
        <v>3449</v>
      </c>
      <c r="B220" s="1" t="s">
        <v>304</v>
      </c>
      <c r="C220" s="1" t="s">
        <v>59</v>
      </c>
      <c r="D220" s="3">
        <v>45566</v>
      </c>
      <c r="E220" s="1" t="s">
        <v>93</v>
      </c>
      <c r="F220" s="12">
        <v>15</v>
      </c>
      <c r="G220" s="1" t="s">
        <v>52</v>
      </c>
      <c r="H220" s="1" t="s">
        <v>91</v>
      </c>
      <c r="I220" s="12">
        <v>30</v>
      </c>
      <c r="J220" s="1" t="s">
        <v>91</v>
      </c>
      <c r="K220" s="12">
        <v>20</v>
      </c>
      <c r="L220" s="12">
        <v>3</v>
      </c>
      <c r="M220" s="12">
        <v>62</v>
      </c>
    </row>
    <row r="221" spans="1:13" ht="16.5" hidden="1" customHeight="1">
      <c r="A221" s="1">
        <v>3450</v>
      </c>
      <c r="B221" s="1" t="s">
        <v>305</v>
      </c>
      <c r="C221" s="1" t="s">
        <v>55</v>
      </c>
      <c r="D221" s="3">
        <v>45567</v>
      </c>
      <c r="E221" s="1" t="s">
        <v>91</v>
      </c>
      <c r="F221" s="12">
        <v>10</v>
      </c>
      <c r="G221" s="1" t="s">
        <v>60</v>
      </c>
      <c r="H221" s="1" t="s">
        <v>93</v>
      </c>
      <c r="I221" s="12" t="s">
        <v>94</v>
      </c>
      <c r="J221" s="1" t="s">
        <v>91</v>
      </c>
      <c r="K221" s="12">
        <v>20</v>
      </c>
      <c r="L221" s="12">
        <v>15</v>
      </c>
      <c r="M221" s="12">
        <v>15</v>
      </c>
    </row>
    <row r="222" spans="1:13" ht="16.5" hidden="1" customHeight="1">
      <c r="A222" s="1">
        <v>3451</v>
      </c>
      <c r="B222" s="1" t="s">
        <v>306</v>
      </c>
      <c r="C222" s="1" t="s">
        <v>51</v>
      </c>
      <c r="D222" s="3">
        <v>45568</v>
      </c>
      <c r="E222" s="1" t="s">
        <v>93</v>
      </c>
      <c r="F222" s="12">
        <v>5</v>
      </c>
      <c r="G222" s="1" t="s">
        <v>52</v>
      </c>
      <c r="H222" s="1" t="s">
        <v>93</v>
      </c>
      <c r="I222" s="12" t="s">
        <v>94</v>
      </c>
      <c r="J222" s="1" t="s">
        <v>93</v>
      </c>
      <c r="K222" s="12">
        <v>0</v>
      </c>
      <c r="L222" s="12">
        <v>1</v>
      </c>
      <c r="M222" s="12">
        <v>4</v>
      </c>
    </row>
    <row r="223" spans="1:13" ht="16.5" customHeight="1">
      <c r="A223" s="1">
        <v>3452</v>
      </c>
      <c r="B223" s="1" t="s">
        <v>284</v>
      </c>
      <c r="C223" s="1" t="s">
        <v>59</v>
      </c>
      <c r="D223" s="3">
        <v>45569</v>
      </c>
      <c r="E223" s="1" t="s">
        <v>91</v>
      </c>
      <c r="F223" s="12">
        <v>15</v>
      </c>
      <c r="G223" s="1" t="s">
        <v>56</v>
      </c>
      <c r="H223" s="1" t="s">
        <v>91</v>
      </c>
      <c r="I223" s="12">
        <v>30</v>
      </c>
      <c r="J223" s="1" t="s">
        <v>91</v>
      </c>
      <c r="K223" s="12">
        <v>20</v>
      </c>
      <c r="L223" s="12">
        <v>7</v>
      </c>
      <c r="M223" s="12">
        <v>58</v>
      </c>
    </row>
    <row r="224" spans="1:13" ht="16.5" hidden="1" customHeight="1">
      <c r="A224" s="1">
        <v>3453</v>
      </c>
      <c r="B224" s="1" t="s">
        <v>138</v>
      </c>
      <c r="C224" s="1" t="s">
        <v>55</v>
      </c>
      <c r="D224" s="3">
        <v>45570</v>
      </c>
      <c r="E224" s="1" t="s">
        <v>93</v>
      </c>
      <c r="F224" s="12">
        <v>10</v>
      </c>
      <c r="G224" s="1" t="s">
        <v>52</v>
      </c>
      <c r="H224" s="1" t="s">
        <v>93</v>
      </c>
      <c r="I224" s="12" t="s">
        <v>94</v>
      </c>
      <c r="J224" s="1" t="s">
        <v>91</v>
      </c>
      <c r="K224" s="12">
        <v>20</v>
      </c>
      <c r="L224" s="12">
        <v>10</v>
      </c>
      <c r="M224" s="12">
        <v>20</v>
      </c>
    </row>
    <row r="225" spans="1:13" ht="16.5" hidden="1" customHeight="1">
      <c r="A225" s="1">
        <v>3454</v>
      </c>
      <c r="B225" s="1" t="s">
        <v>307</v>
      </c>
      <c r="C225" s="1" t="s">
        <v>51</v>
      </c>
      <c r="D225" s="3">
        <v>45571</v>
      </c>
      <c r="E225" s="1" t="s">
        <v>91</v>
      </c>
      <c r="F225" s="12">
        <v>5</v>
      </c>
      <c r="G225" s="1" t="s">
        <v>60</v>
      </c>
      <c r="H225" s="1" t="s">
        <v>93</v>
      </c>
      <c r="I225" s="12" t="s">
        <v>94</v>
      </c>
      <c r="J225" s="1" t="s">
        <v>93</v>
      </c>
      <c r="K225" s="12">
        <v>0</v>
      </c>
      <c r="L225" s="12">
        <v>0</v>
      </c>
      <c r="M225" s="12">
        <v>5</v>
      </c>
    </row>
    <row r="226" spans="1:13" ht="16.5" customHeight="1">
      <c r="A226" s="1">
        <v>3455</v>
      </c>
      <c r="B226" s="1" t="s">
        <v>308</v>
      </c>
      <c r="C226" s="1" t="s">
        <v>59</v>
      </c>
      <c r="D226" s="3">
        <v>45572</v>
      </c>
      <c r="E226" s="1" t="s">
        <v>93</v>
      </c>
      <c r="F226" s="12">
        <v>15</v>
      </c>
      <c r="G226" s="1" t="s">
        <v>52</v>
      </c>
      <c r="H226" s="1" t="s">
        <v>91</v>
      </c>
      <c r="I226" s="12">
        <v>30</v>
      </c>
      <c r="J226" s="1" t="s">
        <v>91</v>
      </c>
      <c r="K226" s="12">
        <v>20</v>
      </c>
      <c r="L226" s="12">
        <v>20</v>
      </c>
      <c r="M226" s="12">
        <v>45</v>
      </c>
    </row>
    <row r="227" spans="1:13" ht="16.5" hidden="1" customHeight="1">
      <c r="A227" s="1">
        <v>3456</v>
      </c>
      <c r="B227" s="1" t="s">
        <v>309</v>
      </c>
      <c r="C227" s="1" t="s">
        <v>55</v>
      </c>
      <c r="D227" s="3">
        <v>45573</v>
      </c>
      <c r="E227" s="1" t="s">
        <v>91</v>
      </c>
      <c r="F227" s="12">
        <v>10</v>
      </c>
      <c r="G227" s="1" t="s">
        <v>56</v>
      </c>
      <c r="H227" s="1" t="s">
        <v>93</v>
      </c>
      <c r="I227" s="12" t="s">
        <v>94</v>
      </c>
      <c r="J227" s="1" t="s">
        <v>91</v>
      </c>
      <c r="K227" s="12">
        <v>20</v>
      </c>
      <c r="L227" s="12">
        <v>15</v>
      </c>
      <c r="M227" s="12">
        <v>15</v>
      </c>
    </row>
    <row r="228" spans="1:13" ht="16.5" hidden="1" customHeight="1">
      <c r="A228" s="1">
        <v>3457</v>
      </c>
      <c r="B228" s="1" t="s">
        <v>310</v>
      </c>
      <c r="C228" s="1" t="s">
        <v>51</v>
      </c>
      <c r="D228" s="3">
        <v>45574</v>
      </c>
      <c r="E228" s="1" t="s">
        <v>93</v>
      </c>
      <c r="F228" s="12">
        <v>5</v>
      </c>
      <c r="G228" s="1" t="s">
        <v>52</v>
      </c>
      <c r="H228" s="1" t="s">
        <v>93</v>
      </c>
      <c r="I228" s="12" t="s">
        <v>94</v>
      </c>
      <c r="J228" s="1" t="s">
        <v>93</v>
      </c>
      <c r="K228" s="12">
        <v>0</v>
      </c>
      <c r="L228" s="12">
        <v>1</v>
      </c>
      <c r="M228" s="12">
        <v>4</v>
      </c>
    </row>
    <row r="229" spans="1:13" ht="16.5" customHeight="1">
      <c r="A229" s="1">
        <v>3458</v>
      </c>
      <c r="B229" s="1" t="s">
        <v>311</v>
      </c>
      <c r="C229" s="1" t="s">
        <v>59</v>
      </c>
      <c r="D229" s="3">
        <v>45575</v>
      </c>
      <c r="E229" s="1" t="s">
        <v>91</v>
      </c>
      <c r="F229" s="12">
        <v>15</v>
      </c>
      <c r="G229" s="1" t="s">
        <v>60</v>
      </c>
      <c r="H229" s="1" t="s">
        <v>91</v>
      </c>
      <c r="I229" s="12">
        <v>30</v>
      </c>
      <c r="J229" s="1" t="s">
        <v>91</v>
      </c>
      <c r="K229" s="12">
        <v>20</v>
      </c>
      <c r="L229" s="12">
        <v>3</v>
      </c>
      <c r="M229" s="12">
        <v>62</v>
      </c>
    </row>
    <row r="230" spans="1:13" ht="16.5" hidden="1" customHeight="1">
      <c r="A230" s="1">
        <v>3459</v>
      </c>
      <c r="B230" s="1" t="s">
        <v>312</v>
      </c>
      <c r="C230" s="1" t="s">
        <v>55</v>
      </c>
      <c r="D230" s="3">
        <v>45576</v>
      </c>
      <c r="E230" s="1" t="s">
        <v>93</v>
      </c>
      <c r="F230" s="12">
        <v>10</v>
      </c>
      <c r="G230" s="1" t="s">
        <v>52</v>
      </c>
      <c r="H230" s="1" t="s">
        <v>93</v>
      </c>
      <c r="I230" s="12" t="s">
        <v>94</v>
      </c>
      <c r="J230" s="1" t="s">
        <v>91</v>
      </c>
      <c r="K230" s="12">
        <v>20</v>
      </c>
      <c r="L230" s="12">
        <v>10</v>
      </c>
      <c r="M230" s="12">
        <v>20</v>
      </c>
    </row>
    <row r="231" spans="1:13" ht="16.5" hidden="1" customHeight="1">
      <c r="A231" s="1">
        <v>3460</v>
      </c>
      <c r="B231" s="1" t="s">
        <v>220</v>
      </c>
      <c r="C231" s="1" t="s">
        <v>51</v>
      </c>
      <c r="D231" s="3">
        <v>45577</v>
      </c>
      <c r="E231" s="1" t="s">
        <v>91</v>
      </c>
      <c r="F231" s="12">
        <v>5</v>
      </c>
      <c r="G231" s="1" t="s">
        <v>56</v>
      </c>
      <c r="H231" s="1" t="s">
        <v>93</v>
      </c>
      <c r="I231" s="12" t="s">
        <v>94</v>
      </c>
      <c r="J231" s="1" t="s">
        <v>93</v>
      </c>
      <c r="K231" s="12">
        <v>0</v>
      </c>
      <c r="L231" s="12">
        <v>0</v>
      </c>
      <c r="M231" s="12">
        <v>5</v>
      </c>
    </row>
    <row r="232" spans="1:13" ht="16.5" customHeight="1">
      <c r="A232" s="1">
        <v>3461</v>
      </c>
      <c r="B232" s="1" t="s">
        <v>313</v>
      </c>
      <c r="C232" s="1" t="s">
        <v>59</v>
      </c>
      <c r="D232" s="3">
        <v>45578</v>
      </c>
      <c r="E232" s="1" t="s">
        <v>93</v>
      </c>
      <c r="F232" s="12">
        <v>15</v>
      </c>
      <c r="G232" s="1" t="s">
        <v>52</v>
      </c>
      <c r="H232" s="1" t="s">
        <v>91</v>
      </c>
      <c r="I232" s="12">
        <v>30</v>
      </c>
      <c r="J232" s="1" t="s">
        <v>91</v>
      </c>
      <c r="K232" s="12">
        <v>20</v>
      </c>
      <c r="L232" s="12">
        <v>15</v>
      </c>
      <c r="M232" s="12">
        <v>50</v>
      </c>
    </row>
    <row r="233" spans="1:13" ht="16.5" hidden="1" customHeight="1">
      <c r="A233" s="1">
        <v>3462</v>
      </c>
      <c r="B233" s="1" t="s">
        <v>314</v>
      </c>
      <c r="C233" s="1" t="s">
        <v>55</v>
      </c>
      <c r="D233" s="3">
        <v>45579</v>
      </c>
      <c r="E233" s="1" t="s">
        <v>91</v>
      </c>
      <c r="F233" s="12">
        <v>10</v>
      </c>
      <c r="G233" s="1" t="s">
        <v>60</v>
      </c>
      <c r="H233" s="1" t="s">
        <v>93</v>
      </c>
      <c r="I233" s="12" t="s">
        <v>94</v>
      </c>
      <c r="J233" s="1" t="s">
        <v>91</v>
      </c>
      <c r="K233" s="12">
        <v>20</v>
      </c>
      <c r="L233" s="12">
        <v>15</v>
      </c>
      <c r="M233" s="12">
        <v>15</v>
      </c>
    </row>
    <row r="234" spans="1:13" ht="16.5" hidden="1" customHeight="1">
      <c r="A234" s="1">
        <v>3463</v>
      </c>
      <c r="B234" s="1" t="s">
        <v>315</v>
      </c>
      <c r="C234" s="1" t="s">
        <v>51</v>
      </c>
      <c r="D234" s="3">
        <v>45580</v>
      </c>
      <c r="E234" s="1" t="s">
        <v>93</v>
      </c>
      <c r="F234" s="12">
        <v>5</v>
      </c>
      <c r="G234" s="1" t="s">
        <v>52</v>
      </c>
      <c r="H234" s="1" t="s">
        <v>93</v>
      </c>
      <c r="I234" s="12" t="s">
        <v>94</v>
      </c>
      <c r="J234" s="1" t="s">
        <v>93</v>
      </c>
      <c r="K234" s="12">
        <v>0</v>
      </c>
      <c r="L234" s="12">
        <v>1</v>
      </c>
      <c r="M234" s="12">
        <v>4</v>
      </c>
    </row>
    <row r="235" spans="1:13" ht="16.5" customHeight="1">
      <c r="A235" s="1">
        <v>3464</v>
      </c>
      <c r="B235" s="1" t="s">
        <v>316</v>
      </c>
      <c r="C235" s="1" t="s">
        <v>59</v>
      </c>
      <c r="D235" s="3">
        <v>45581</v>
      </c>
      <c r="E235" s="1" t="s">
        <v>91</v>
      </c>
      <c r="F235" s="12">
        <v>15</v>
      </c>
      <c r="G235" s="1" t="s">
        <v>56</v>
      </c>
      <c r="H235" s="1" t="s">
        <v>91</v>
      </c>
      <c r="I235" s="12">
        <v>30</v>
      </c>
      <c r="J235" s="1" t="s">
        <v>91</v>
      </c>
      <c r="K235" s="12">
        <v>20</v>
      </c>
      <c r="L235" s="12">
        <v>7</v>
      </c>
      <c r="M235" s="12">
        <v>58</v>
      </c>
    </row>
    <row r="236" spans="1:13" ht="16.5" hidden="1" customHeight="1">
      <c r="A236" s="1">
        <v>3465</v>
      </c>
      <c r="B236" s="1" t="s">
        <v>317</v>
      </c>
      <c r="C236" s="1" t="s">
        <v>55</v>
      </c>
      <c r="D236" s="3">
        <v>45582</v>
      </c>
      <c r="E236" s="1" t="s">
        <v>93</v>
      </c>
      <c r="F236" s="12">
        <v>10</v>
      </c>
      <c r="G236" s="1" t="s">
        <v>52</v>
      </c>
      <c r="H236" s="1" t="s">
        <v>93</v>
      </c>
      <c r="I236" s="12" t="s">
        <v>94</v>
      </c>
      <c r="J236" s="1" t="s">
        <v>91</v>
      </c>
      <c r="K236" s="12">
        <v>20</v>
      </c>
      <c r="L236" s="12">
        <v>10</v>
      </c>
      <c r="M236" s="12">
        <v>20</v>
      </c>
    </row>
    <row r="237" spans="1:13" ht="16.5" hidden="1" customHeight="1">
      <c r="A237" s="1">
        <v>3466</v>
      </c>
      <c r="B237" s="1" t="s">
        <v>318</v>
      </c>
      <c r="C237" s="1" t="s">
        <v>51</v>
      </c>
      <c r="D237" s="3">
        <v>45583</v>
      </c>
      <c r="E237" s="1" t="s">
        <v>91</v>
      </c>
      <c r="F237" s="12">
        <v>5</v>
      </c>
      <c r="G237" s="1" t="s">
        <v>60</v>
      </c>
      <c r="H237" s="1" t="s">
        <v>93</v>
      </c>
      <c r="I237" s="12" t="s">
        <v>94</v>
      </c>
      <c r="J237" s="1" t="s">
        <v>93</v>
      </c>
      <c r="K237" s="12">
        <v>0</v>
      </c>
      <c r="L237" s="12">
        <v>0</v>
      </c>
      <c r="M237" s="12">
        <v>5</v>
      </c>
    </row>
    <row r="238" spans="1:13" ht="16.5" customHeight="1">
      <c r="A238" s="1">
        <v>3467</v>
      </c>
      <c r="B238" s="1" t="s">
        <v>319</v>
      </c>
      <c r="C238" s="1" t="s">
        <v>59</v>
      </c>
      <c r="D238" s="3">
        <v>45584</v>
      </c>
      <c r="E238" s="1" t="s">
        <v>93</v>
      </c>
      <c r="F238" s="12">
        <v>15</v>
      </c>
      <c r="G238" s="1" t="s">
        <v>52</v>
      </c>
      <c r="H238" s="1" t="s">
        <v>91</v>
      </c>
      <c r="I238" s="12">
        <v>30</v>
      </c>
      <c r="J238" s="1" t="s">
        <v>91</v>
      </c>
      <c r="K238" s="12">
        <v>20</v>
      </c>
      <c r="L238" s="12">
        <v>15</v>
      </c>
      <c r="M238" s="12">
        <v>50</v>
      </c>
    </row>
    <row r="239" spans="1:13" ht="16.5" hidden="1" customHeight="1">
      <c r="A239" s="1">
        <v>3468</v>
      </c>
      <c r="B239" s="1" t="s">
        <v>320</v>
      </c>
      <c r="C239" s="1" t="s">
        <v>55</v>
      </c>
      <c r="D239" s="3">
        <v>45585</v>
      </c>
      <c r="E239" s="1" t="s">
        <v>91</v>
      </c>
      <c r="F239" s="12">
        <v>10</v>
      </c>
      <c r="G239" s="1" t="s">
        <v>56</v>
      </c>
      <c r="H239" s="1" t="s">
        <v>93</v>
      </c>
      <c r="I239" s="12" t="s">
        <v>94</v>
      </c>
      <c r="J239" s="1" t="s">
        <v>91</v>
      </c>
      <c r="K239" s="12">
        <v>20</v>
      </c>
      <c r="L239" s="12">
        <v>12</v>
      </c>
      <c r="M239" s="12">
        <v>18</v>
      </c>
    </row>
    <row r="240" spans="1:13" ht="16.5" hidden="1" customHeight="1">
      <c r="A240" s="1">
        <v>3469</v>
      </c>
      <c r="B240" s="1" t="s">
        <v>321</v>
      </c>
      <c r="C240" s="1" t="s">
        <v>51</v>
      </c>
      <c r="D240" s="3">
        <v>45586</v>
      </c>
      <c r="E240" s="1" t="s">
        <v>93</v>
      </c>
      <c r="F240" s="12">
        <v>5</v>
      </c>
      <c r="G240" s="1" t="s">
        <v>52</v>
      </c>
      <c r="H240" s="1" t="s">
        <v>93</v>
      </c>
      <c r="I240" s="12" t="s">
        <v>94</v>
      </c>
      <c r="J240" s="1" t="s">
        <v>93</v>
      </c>
      <c r="K240" s="12">
        <v>0</v>
      </c>
      <c r="L240" s="12">
        <v>2</v>
      </c>
      <c r="M240" s="12">
        <v>3</v>
      </c>
    </row>
    <row r="241" spans="1:13" ht="16.5" customHeight="1">
      <c r="A241" s="1">
        <v>3470</v>
      </c>
      <c r="B241" s="1" t="s">
        <v>322</v>
      </c>
      <c r="C241" s="1" t="s">
        <v>59</v>
      </c>
      <c r="D241" s="3">
        <v>45587</v>
      </c>
      <c r="E241" s="1" t="s">
        <v>91</v>
      </c>
      <c r="F241" s="12">
        <v>15</v>
      </c>
      <c r="G241" s="1" t="s">
        <v>60</v>
      </c>
      <c r="H241" s="1" t="s">
        <v>91</v>
      </c>
      <c r="I241" s="12">
        <v>30</v>
      </c>
      <c r="J241" s="1" t="s">
        <v>91</v>
      </c>
      <c r="K241" s="12">
        <v>20</v>
      </c>
      <c r="L241" s="12">
        <v>5</v>
      </c>
      <c r="M241" s="12">
        <v>60</v>
      </c>
    </row>
    <row r="242" spans="1:13" ht="16.5" hidden="1" customHeight="1">
      <c r="A242" s="1">
        <v>3471</v>
      </c>
      <c r="B242" s="1" t="s">
        <v>323</v>
      </c>
      <c r="C242" s="1" t="s">
        <v>55</v>
      </c>
      <c r="D242" s="3">
        <v>45588</v>
      </c>
      <c r="E242" s="1" t="s">
        <v>93</v>
      </c>
      <c r="F242" s="12">
        <v>10</v>
      </c>
      <c r="G242" s="1" t="s">
        <v>52</v>
      </c>
      <c r="H242" s="1" t="s">
        <v>93</v>
      </c>
      <c r="I242" s="12" t="s">
        <v>94</v>
      </c>
      <c r="J242" s="1" t="s">
        <v>91</v>
      </c>
      <c r="K242" s="12">
        <v>20</v>
      </c>
      <c r="L242" s="12">
        <v>10</v>
      </c>
      <c r="M242" s="12">
        <v>20</v>
      </c>
    </row>
    <row r="243" spans="1:13" ht="16.5" hidden="1" customHeight="1">
      <c r="A243" s="1">
        <v>3472</v>
      </c>
      <c r="B243" s="1" t="s">
        <v>324</v>
      </c>
      <c r="C243" s="1" t="s">
        <v>51</v>
      </c>
      <c r="D243" s="3">
        <v>45589</v>
      </c>
      <c r="E243" s="1" t="s">
        <v>91</v>
      </c>
      <c r="F243" s="12">
        <v>5</v>
      </c>
      <c r="G243" s="1" t="s">
        <v>56</v>
      </c>
      <c r="H243" s="1" t="s">
        <v>93</v>
      </c>
      <c r="I243" s="12" t="s">
        <v>94</v>
      </c>
      <c r="J243" s="1" t="s">
        <v>93</v>
      </c>
      <c r="K243" s="12">
        <v>0</v>
      </c>
      <c r="L243" s="12">
        <v>0</v>
      </c>
      <c r="M243" s="12">
        <v>5</v>
      </c>
    </row>
    <row r="244" spans="1:13" ht="16.5" customHeight="1">
      <c r="A244" s="1">
        <v>3473</v>
      </c>
      <c r="B244" s="1" t="s">
        <v>233</v>
      </c>
      <c r="C244" s="1" t="s">
        <v>59</v>
      </c>
      <c r="D244" s="3">
        <v>45590</v>
      </c>
      <c r="E244" s="1" t="s">
        <v>93</v>
      </c>
      <c r="F244" s="12">
        <v>15</v>
      </c>
      <c r="G244" s="1" t="s">
        <v>52</v>
      </c>
      <c r="H244" s="1" t="s">
        <v>91</v>
      </c>
      <c r="I244" s="12">
        <v>30</v>
      </c>
      <c r="J244" s="1" t="s">
        <v>91</v>
      </c>
      <c r="K244" s="12">
        <v>20</v>
      </c>
      <c r="L244" s="12">
        <v>3</v>
      </c>
      <c r="M244" s="12">
        <v>62</v>
      </c>
    </row>
    <row r="245" spans="1:13" ht="16.5" hidden="1" customHeight="1">
      <c r="A245" s="1">
        <v>3474</v>
      </c>
      <c r="B245" s="1" t="s">
        <v>325</v>
      </c>
      <c r="C245" s="1" t="s">
        <v>55</v>
      </c>
      <c r="D245" s="3">
        <v>45591</v>
      </c>
      <c r="E245" s="1" t="s">
        <v>91</v>
      </c>
      <c r="F245" s="12">
        <v>10</v>
      </c>
      <c r="G245" s="1" t="s">
        <v>60</v>
      </c>
      <c r="H245" s="1" t="s">
        <v>93</v>
      </c>
      <c r="I245" s="12" t="s">
        <v>94</v>
      </c>
      <c r="J245" s="1" t="s">
        <v>91</v>
      </c>
      <c r="K245" s="12">
        <v>20</v>
      </c>
      <c r="L245" s="12">
        <v>15</v>
      </c>
      <c r="M245" s="12">
        <v>15</v>
      </c>
    </row>
    <row r="246" spans="1:13" ht="16.5" hidden="1" customHeight="1">
      <c r="A246" s="1">
        <v>3475</v>
      </c>
      <c r="B246" s="1" t="s">
        <v>326</v>
      </c>
      <c r="C246" s="1" t="s">
        <v>51</v>
      </c>
      <c r="D246" s="3">
        <v>45592</v>
      </c>
      <c r="E246" s="1" t="s">
        <v>93</v>
      </c>
      <c r="F246" s="12">
        <v>5</v>
      </c>
      <c r="G246" s="1" t="s">
        <v>52</v>
      </c>
      <c r="H246" s="1" t="s">
        <v>93</v>
      </c>
      <c r="I246" s="12" t="s">
        <v>94</v>
      </c>
      <c r="J246" s="1" t="s">
        <v>93</v>
      </c>
      <c r="K246" s="12">
        <v>0</v>
      </c>
      <c r="L246" s="12">
        <v>1</v>
      </c>
      <c r="M246" s="12">
        <v>4</v>
      </c>
    </row>
    <row r="247" spans="1:13" ht="16.5" customHeight="1">
      <c r="A247" s="1">
        <v>3476</v>
      </c>
      <c r="B247" s="1" t="s">
        <v>327</v>
      </c>
      <c r="C247" s="1" t="s">
        <v>59</v>
      </c>
      <c r="D247" s="3">
        <v>45593</v>
      </c>
      <c r="E247" s="1" t="s">
        <v>91</v>
      </c>
      <c r="F247" s="12">
        <v>15</v>
      </c>
      <c r="G247" s="1" t="s">
        <v>56</v>
      </c>
      <c r="H247" s="1" t="s">
        <v>91</v>
      </c>
      <c r="I247" s="12">
        <v>30</v>
      </c>
      <c r="J247" s="1" t="s">
        <v>91</v>
      </c>
      <c r="K247" s="12">
        <v>20</v>
      </c>
      <c r="L247" s="12">
        <v>7</v>
      </c>
      <c r="M247" s="12">
        <v>58</v>
      </c>
    </row>
    <row r="248" spans="1:13" ht="16.5" hidden="1" customHeight="1">
      <c r="A248" s="1">
        <v>3477</v>
      </c>
      <c r="B248" s="1" t="s">
        <v>328</v>
      </c>
      <c r="C248" s="1" t="s">
        <v>55</v>
      </c>
      <c r="D248" s="3">
        <v>45594</v>
      </c>
      <c r="E248" s="1" t="s">
        <v>93</v>
      </c>
      <c r="F248" s="12">
        <v>10</v>
      </c>
      <c r="G248" s="1" t="s">
        <v>52</v>
      </c>
      <c r="H248" s="1" t="s">
        <v>93</v>
      </c>
      <c r="I248" s="12" t="s">
        <v>94</v>
      </c>
      <c r="J248" s="1" t="s">
        <v>91</v>
      </c>
      <c r="K248" s="12">
        <v>20</v>
      </c>
      <c r="L248" s="12">
        <v>10</v>
      </c>
      <c r="M248" s="12">
        <v>20</v>
      </c>
    </row>
    <row r="249" spans="1:13" ht="16.5" hidden="1" customHeight="1">
      <c r="A249" s="1">
        <v>3478</v>
      </c>
      <c r="B249" s="1" t="s">
        <v>329</v>
      </c>
      <c r="C249" s="1" t="s">
        <v>51</v>
      </c>
      <c r="D249" s="3">
        <v>45595</v>
      </c>
      <c r="E249" s="1" t="s">
        <v>91</v>
      </c>
      <c r="F249" s="12">
        <v>5</v>
      </c>
      <c r="G249" s="1" t="s">
        <v>60</v>
      </c>
      <c r="H249" s="1" t="s">
        <v>93</v>
      </c>
      <c r="I249" s="12" t="s">
        <v>94</v>
      </c>
      <c r="J249" s="1" t="s">
        <v>93</v>
      </c>
      <c r="K249" s="12">
        <v>0</v>
      </c>
      <c r="L249" s="12">
        <v>0</v>
      </c>
      <c r="M249" s="12">
        <v>5</v>
      </c>
    </row>
    <row r="250" spans="1:13" ht="16.5" customHeight="1">
      <c r="A250" s="1">
        <v>3479</v>
      </c>
      <c r="B250" s="1" t="s">
        <v>330</v>
      </c>
      <c r="C250" s="1" t="s">
        <v>59</v>
      </c>
      <c r="D250" s="3">
        <v>45596</v>
      </c>
      <c r="E250" s="1" t="s">
        <v>93</v>
      </c>
      <c r="F250" s="12">
        <v>15</v>
      </c>
      <c r="G250" s="1" t="s">
        <v>52</v>
      </c>
      <c r="H250" s="1" t="s">
        <v>91</v>
      </c>
      <c r="I250" s="12">
        <v>30</v>
      </c>
      <c r="J250" s="1" t="s">
        <v>91</v>
      </c>
      <c r="K250" s="12">
        <v>20</v>
      </c>
      <c r="L250" s="12">
        <v>20</v>
      </c>
      <c r="M250" s="12">
        <v>45</v>
      </c>
    </row>
    <row r="251" spans="1:13" ht="16.5" hidden="1" customHeight="1">
      <c r="A251" s="1">
        <v>3480</v>
      </c>
      <c r="B251" s="1" t="s">
        <v>331</v>
      </c>
      <c r="C251" s="1" t="s">
        <v>55</v>
      </c>
      <c r="D251" s="3">
        <v>45597</v>
      </c>
      <c r="E251" s="1" t="s">
        <v>91</v>
      </c>
      <c r="F251" s="12">
        <v>10</v>
      </c>
      <c r="G251" s="1" t="s">
        <v>56</v>
      </c>
      <c r="H251" s="1" t="s">
        <v>93</v>
      </c>
      <c r="I251" s="12" t="s">
        <v>94</v>
      </c>
      <c r="J251" s="1" t="s">
        <v>91</v>
      </c>
      <c r="K251" s="12">
        <v>20</v>
      </c>
      <c r="L251" s="12">
        <v>15</v>
      </c>
      <c r="M251" s="12">
        <v>15</v>
      </c>
    </row>
    <row r="252" spans="1:13" ht="16.5" hidden="1" customHeight="1">
      <c r="A252" s="1">
        <v>3481</v>
      </c>
      <c r="B252" s="1" t="s">
        <v>332</v>
      </c>
      <c r="C252" s="1" t="s">
        <v>51</v>
      </c>
      <c r="D252" s="3">
        <v>45598</v>
      </c>
      <c r="E252" s="1" t="s">
        <v>93</v>
      </c>
      <c r="F252" s="12">
        <v>5</v>
      </c>
      <c r="G252" s="1" t="s">
        <v>52</v>
      </c>
      <c r="H252" s="1" t="s">
        <v>93</v>
      </c>
      <c r="I252" s="12" t="s">
        <v>94</v>
      </c>
      <c r="J252" s="1" t="s">
        <v>93</v>
      </c>
      <c r="K252" s="12">
        <v>0</v>
      </c>
      <c r="L252" s="12">
        <v>1</v>
      </c>
      <c r="M252" s="12">
        <v>4</v>
      </c>
    </row>
    <row r="253" spans="1:13" ht="16.5" customHeight="1">
      <c r="A253" s="1">
        <v>3482</v>
      </c>
      <c r="B253" s="1" t="s">
        <v>333</v>
      </c>
      <c r="C253" s="1" t="s">
        <v>59</v>
      </c>
      <c r="D253" s="3">
        <v>45599</v>
      </c>
      <c r="E253" s="1" t="s">
        <v>91</v>
      </c>
      <c r="F253" s="12">
        <v>15</v>
      </c>
      <c r="G253" s="1" t="s">
        <v>60</v>
      </c>
      <c r="H253" s="1" t="s">
        <v>91</v>
      </c>
      <c r="I253" s="12">
        <v>30</v>
      </c>
      <c r="J253" s="1" t="s">
        <v>91</v>
      </c>
      <c r="K253" s="12">
        <v>20</v>
      </c>
      <c r="L253" s="12">
        <v>3</v>
      </c>
      <c r="M253" s="12">
        <v>62</v>
      </c>
    </row>
    <row r="254" spans="1:13" ht="16.5" hidden="1" customHeight="1">
      <c r="A254" s="1">
        <v>3483</v>
      </c>
      <c r="B254" s="1" t="s">
        <v>334</v>
      </c>
      <c r="C254" s="1" t="s">
        <v>55</v>
      </c>
      <c r="D254" s="3">
        <v>45600</v>
      </c>
      <c r="E254" s="1" t="s">
        <v>93</v>
      </c>
      <c r="F254" s="12">
        <v>10</v>
      </c>
      <c r="G254" s="1" t="s">
        <v>52</v>
      </c>
      <c r="H254" s="1" t="s">
        <v>93</v>
      </c>
      <c r="I254" s="12" t="s">
        <v>94</v>
      </c>
      <c r="J254" s="1" t="s">
        <v>91</v>
      </c>
      <c r="K254" s="12">
        <v>20</v>
      </c>
      <c r="L254" s="12">
        <v>10</v>
      </c>
      <c r="M254" s="12">
        <v>20</v>
      </c>
    </row>
    <row r="255" spans="1:13" ht="16.5" hidden="1" customHeight="1">
      <c r="A255" s="1">
        <v>3484</v>
      </c>
      <c r="B255" s="1" t="s">
        <v>335</v>
      </c>
      <c r="C255" s="1" t="s">
        <v>51</v>
      </c>
      <c r="D255" s="3">
        <v>45601</v>
      </c>
      <c r="E255" s="1" t="s">
        <v>91</v>
      </c>
      <c r="F255" s="12">
        <v>5</v>
      </c>
      <c r="G255" s="1" t="s">
        <v>56</v>
      </c>
      <c r="H255" s="1" t="s">
        <v>93</v>
      </c>
      <c r="I255" s="12" t="s">
        <v>94</v>
      </c>
      <c r="J255" s="1" t="s">
        <v>93</v>
      </c>
      <c r="K255" s="12">
        <v>0</v>
      </c>
      <c r="L255" s="12">
        <v>0</v>
      </c>
      <c r="M255" s="12">
        <v>5</v>
      </c>
    </row>
    <row r="256" spans="1:13" ht="16.5" customHeight="1">
      <c r="A256" s="1">
        <v>3485</v>
      </c>
      <c r="B256" s="1" t="s">
        <v>336</v>
      </c>
      <c r="C256" s="1" t="s">
        <v>59</v>
      </c>
      <c r="D256" s="3">
        <v>45602</v>
      </c>
      <c r="E256" s="1" t="s">
        <v>93</v>
      </c>
      <c r="F256" s="12">
        <v>15</v>
      </c>
      <c r="G256" s="1" t="s">
        <v>52</v>
      </c>
      <c r="H256" s="1" t="s">
        <v>91</v>
      </c>
      <c r="I256" s="12">
        <v>30</v>
      </c>
      <c r="J256" s="1" t="s">
        <v>91</v>
      </c>
      <c r="K256" s="12">
        <v>20</v>
      </c>
      <c r="L256" s="12">
        <v>15</v>
      </c>
      <c r="M256" s="12">
        <v>50</v>
      </c>
    </row>
    <row r="257" spans="1:13" ht="16.5" hidden="1" customHeight="1">
      <c r="A257" s="1">
        <v>3486</v>
      </c>
      <c r="B257" s="1" t="s">
        <v>337</v>
      </c>
      <c r="C257" s="1" t="s">
        <v>51</v>
      </c>
      <c r="D257" s="3">
        <v>45603</v>
      </c>
      <c r="E257" s="1" t="s">
        <v>91</v>
      </c>
      <c r="F257" s="12">
        <v>5</v>
      </c>
      <c r="G257" s="1" t="s">
        <v>52</v>
      </c>
      <c r="H257" s="1" t="s">
        <v>93</v>
      </c>
      <c r="I257" s="12" t="s">
        <v>94</v>
      </c>
      <c r="J257" s="1" t="s">
        <v>93</v>
      </c>
      <c r="K257" s="12">
        <v>0</v>
      </c>
      <c r="L257" s="12">
        <v>0</v>
      </c>
      <c r="M257" s="12">
        <v>5</v>
      </c>
    </row>
    <row r="258" spans="1:13" ht="16.5" customHeight="1">
      <c r="A258" s="1">
        <v>3487</v>
      </c>
      <c r="B258" s="1" t="s">
        <v>338</v>
      </c>
      <c r="C258" s="1" t="s">
        <v>59</v>
      </c>
      <c r="D258" s="3">
        <v>45604</v>
      </c>
      <c r="E258" s="1" t="s">
        <v>93</v>
      </c>
      <c r="F258" s="12">
        <v>15</v>
      </c>
      <c r="G258" s="1" t="s">
        <v>56</v>
      </c>
      <c r="H258" s="1" t="s">
        <v>91</v>
      </c>
      <c r="I258" s="12">
        <v>30</v>
      </c>
      <c r="J258" s="1" t="s">
        <v>91</v>
      </c>
      <c r="K258" s="12">
        <v>20</v>
      </c>
      <c r="L258" s="12">
        <v>7</v>
      </c>
      <c r="M258" s="12">
        <v>58</v>
      </c>
    </row>
    <row r="259" spans="1:13" ht="16.5" hidden="1" customHeight="1">
      <c r="A259" s="1">
        <v>3488</v>
      </c>
      <c r="B259" s="1" t="s">
        <v>339</v>
      </c>
      <c r="C259" s="1" t="s">
        <v>55</v>
      </c>
      <c r="D259" s="3">
        <v>45605</v>
      </c>
      <c r="E259" s="1" t="s">
        <v>91</v>
      </c>
      <c r="F259" s="12">
        <v>10</v>
      </c>
      <c r="G259" s="1" t="s">
        <v>60</v>
      </c>
      <c r="H259" s="1" t="s">
        <v>93</v>
      </c>
      <c r="I259" s="12" t="s">
        <v>94</v>
      </c>
      <c r="J259" s="1" t="s">
        <v>91</v>
      </c>
      <c r="K259" s="12">
        <v>20</v>
      </c>
      <c r="L259" s="12">
        <v>10</v>
      </c>
      <c r="M259" s="12">
        <v>20</v>
      </c>
    </row>
    <row r="260" spans="1:13" ht="16.5" hidden="1" customHeight="1">
      <c r="A260" s="1">
        <v>3489</v>
      </c>
      <c r="B260" s="1" t="s">
        <v>340</v>
      </c>
      <c r="C260" s="1" t="s">
        <v>51</v>
      </c>
      <c r="D260" s="3">
        <v>45606</v>
      </c>
      <c r="E260" s="1" t="s">
        <v>93</v>
      </c>
      <c r="F260" s="12">
        <v>5</v>
      </c>
      <c r="G260" s="1" t="s">
        <v>56</v>
      </c>
      <c r="H260" s="1" t="s">
        <v>93</v>
      </c>
      <c r="I260" s="12" t="s">
        <v>94</v>
      </c>
      <c r="J260" s="1" t="s">
        <v>93</v>
      </c>
      <c r="K260" s="12">
        <v>0</v>
      </c>
      <c r="L260" s="12">
        <v>1</v>
      </c>
      <c r="M260" s="12">
        <v>4</v>
      </c>
    </row>
    <row r="261" spans="1:13" ht="16.5" customHeight="1">
      <c r="A261" s="1">
        <v>3490</v>
      </c>
      <c r="B261" s="1" t="s">
        <v>341</v>
      </c>
      <c r="C261" s="1" t="s">
        <v>59</v>
      </c>
      <c r="D261" s="3">
        <v>45607</v>
      </c>
      <c r="E261" s="1" t="s">
        <v>91</v>
      </c>
      <c r="F261" s="12">
        <v>15</v>
      </c>
      <c r="G261" s="1" t="s">
        <v>52</v>
      </c>
      <c r="H261" s="1" t="s">
        <v>91</v>
      </c>
      <c r="I261" s="12">
        <v>30</v>
      </c>
      <c r="J261" s="1" t="s">
        <v>91</v>
      </c>
      <c r="K261" s="12">
        <v>20</v>
      </c>
      <c r="L261" s="12">
        <v>15</v>
      </c>
      <c r="M261" s="12">
        <v>50</v>
      </c>
    </row>
    <row r="262" spans="1:13" ht="16.5" hidden="1" customHeight="1">
      <c r="A262" s="1">
        <v>3491</v>
      </c>
      <c r="B262" s="1" t="s">
        <v>342</v>
      </c>
      <c r="C262" s="1" t="s">
        <v>55</v>
      </c>
      <c r="D262" s="3">
        <v>45608</v>
      </c>
      <c r="E262" s="1" t="s">
        <v>93</v>
      </c>
      <c r="F262" s="12">
        <v>10</v>
      </c>
      <c r="G262" s="1" t="s">
        <v>52</v>
      </c>
      <c r="H262" s="1" t="s">
        <v>93</v>
      </c>
      <c r="I262" s="12" t="s">
        <v>94</v>
      </c>
      <c r="J262" s="1" t="s">
        <v>91</v>
      </c>
      <c r="K262" s="12">
        <v>20</v>
      </c>
      <c r="L262" s="12">
        <v>5</v>
      </c>
      <c r="M262" s="12">
        <v>25</v>
      </c>
    </row>
    <row r="263" spans="1:13" ht="16.5" hidden="1" customHeight="1">
      <c r="A263" s="1">
        <v>3492</v>
      </c>
      <c r="B263" s="1" t="s">
        <v>343</v>
      </c>
      <c r="C263" s="1" t="s">
        <v>51</v>
      </c>
      <c r="D263" s="3">
        <v>45609</v>
      </c>
      <c r="E263" s="1" t="s">
        <v>91</v>
      </c>
      <c r="F263" s="12">
        <v>5</v>
      </c>
      <c r="G263" s="1" t="s">
        <v>60</v>
      </c>
      <c r="H263" s="1" t="s">
        <v>93</v>
      </c>
      <c r="I263" s="12" t="s">
        <v>94</v>
      </c>
      <c r="J263" s="1" t="s">
        <v>93</v>
      </c>
      <c r="K263" s="12">
        <v>0</v>
      </c>
      <c r="L263" s="12">
        <v>0</v>
      </c>
      <c r="M263" s="12">
        <v>5</v>
      </c>
    </row>
    <row r="264" spans="1:13" ht="16.5" customHeight="1">
      <c r="A264" s="1">
        <v>3493</v>
      </c>
      <c r="B264" s="1" t="s">
        <v>344</v>
      </c>
      <c r="C264" s="1" t="s">
        <v>59</v>
      </c>
      <c r="D264" s="3">
        <v>45610</v>
      </c>
      <c r="E264" s="1" t="s">
        <v>93</v>
      </c>
      <c r="F264" s="12">
        <v>15</v>
      </c>
      <c r="G264" s="1" t="s">
        <v>56</v>
      </c>
      <c r="H264" s="1" t="s">
        <v>91</v>
      </c>
      <c r="I264" s="12">
        <v>30</v>
      </c>
      <c r="J264" s="1" t="s">
        <v>91</v>
      </c>
      <c r="K264" s="12">
        <v>20</v>
      </c>
      <c r="L264" s="12">
        <v>20</v>
      </c>
      <c r="M264" s="12">
        <v>45</v>
      </c>
    </row>
    <row r="265" spans="1:13" ht="16.5" hidden="1" customHeight="1">
      <c r="A265" s="1">
        <v>3494</v>
      </c>
      <c r="B265" s="1" t="s">
        <v>345</v>
      </c>
      <c r="C265" s="1" t="s">
        <v>55</v>
      </c>
      <c r="D265" s="3">
        <v>45611</v>
      </c>
      <c r="E265" s="1" t="s">
        <v>91</v>
      </c>
      <c r="F265" s="12">
        <v>10</v>
      </c>
      <c r="G265" s="1" t="s">
        <v>56</v>
      </c>
      <c r="H265" s="1" t="s">
        <v>93</v>
      </c>
      <c r="I265" s="12" t="s">
        <v>94</v>
      </c>
      <c r="J265" s="1" t="s">
        <v>91</v>
      </c>
      <c r="K265" s="12">
        <v>20</v>
      </c>
      <c r="L265" s="12">
        <v>12</v>
      </c>
      <c r="M265" s="12">
        <v>18</v>
      </c>
    </row>
    <row r="266" spans="1:13" ht="16.5" hidden="1" customHeight="1">
      <c r="A266" s="1">
        <v>3495</v>
      </c>
      <c r="B266" s="1" t="s">
        <v>346</v>
      </c>
      <c r="C266" s="1" t="s">
        <v>51</v>
      </c>
      <c r="D266" s="3">
        <v>45612</v>
      </c>
      <c r="E266" s="1" t="s">
        <v>93</v>
      </c>
      <c r="F266" s="12">
        <v>5</v>
      </c>
      <c r="G266" s="1" t="s">
        <v>52</v>
      </c>
      <c r="H266" s="1" t="s">
        <v>93</v>
      </c>
      <c r="I266" s="12" t="s">
        <v>94</v>
      </c>
      <c r="J266" s="1" t="s">
        <v>93</v>
      </c>
      <c r="K266" s="12">
        <v>0</v>
      </c>
      <c r="L266" s="12">
        <v>2</v>
      </c>
      <c r="M266" s="12">
        <v>3</v>
      </c>
    </row>
    <row r="267" spans="1:13" ht="16.5" customHeight="1">
      <c r="A267" s="1">
        <v>3496</v>
      </c>
      <c r="B267" s="1" t="s">
        <v>347</v>
      </c>
      <c r="C267" s="1" t="s">
        <v>59</v>
      </c>
      <c r="D267" s="3">
        <v>45613</v>
      </c>
      <c r="E267" s="1" t="s">
        <v>91</v>
      </c>
      <c r="F267" s="12">
        <v>15</v>
      </c>
      <c r="G267" s="1" t="s">
        <v>60</v>
      </c>
      <c r="H267" s="1" t="s">
        <v>91</v>
      </c>
      <c r="I267" s="12">
        <v>30</v>
      </c>
      <c r="J267" s="1" t="s">
        <v>91</v>
      </c>
      <c r="K267" s="12">
        <v>20</v>
      </c>
      <c r="L267" s="12">
        <v>5</v>
      </c>
      <c r="M267" s="12">
        <v>60</v>
      </c>
    </row>
    <row r="268" spans="1:13" ht="16.5" hidden="1" customHeight="1">
      <c r="A268" s="1">
        <v>3497</v>
      </c>
      <c r="B268" s="1" t="s">
        <v>348</v>
      </c>
      <c r="C268" s="1" t="s">
        <v>55</v>
      </c>
      <c r="D268" s="3">
        <v>45614</v>
      </c>
      <c r="E268" s="1" t="s">
        <v>93</v>
      </c>
      <c r="F268" s="12">
        <v>10</v>
      </c>
      <c r="G268" s="1" t="s">
        <v>52</v>
      </c>
      <c r="H268" s="1" t="s">
        <v>93</v>
      </c>
      <c r="I268" s="12" t="s">
        <v>94</v>
      </c>
      <c r="J268" s="1" t="s">
        <v>91</v>
      </c>
      <c r="K268" s="12">
        <v>20</v>
      </c>
      <c r="L268" s="12">
        <v>10</v>
      </c>
      <c r="M268" s="12">
        <v>20</v>
      </c>
    </row>
    <row r="269" spans="1:13" ht="16.5" hidden="1" customHeight="1">
      <c r="A269" s="1">
        <v>3498</v>
      </c>
      <c r="B269" s="1" t="s">
        <v>349</v>
      </c>
      <c r="C269" s="1" t="s">
        <v>51</v>
      </c>
      <c r="D269" s="3">
        <v>45615</v>
      </c>
      <c r="E269" s="1" t="s">
        <v>91</v>
      </c>
      <c r="F269" s="12">
        <v>5</v>
      </c>
      <c r="G269" s="1" t="s">
        <v>56</v>
      </c>
      <c r="H269" s="1" t="s">
        <v>93</v>
      </c>
      <c r="I269" s="12" t="s">
        <v>94</v>
      </c>
      <c r="J269" s="1" t="s">
        <v>93</v>
      </c>
      <c r="K269" s="12">
        <v>0</v>
      </c>
      <c r="L269" s="12">
        <v>0</v>
      </c>
      <c r="M269" s="12">
        <v>5</v>
      </c>
    </row>
    <row r="270" spans="1:13" ht="16.5" customHeight="1">
      <c r="A270" s="1">
        <v>3499</v>
      </c>
      <c r="B270" s="1" t="s">
        <v>350</v>
      </c>
      <c r="C270" s="1" t="s">
        <v>59</v>
      </c>
      <c r="D270" s="3">
        <v>45616</v>
      </c>
      <c r="E270" s="1" t="s">
        <v>93</v>
      </c>
      <c r="F270" s="12">
        <v>15</v>
      </c>
      <c r="G270" s="1" t="s">
        <v>52</v>
      </c>
      <c r="H270" s="1" t="s">
        <v>91</v>
      </c>
      <c r="I270" s="12">
        <v>30</v>
      </c>
      <c r="J270" s="1" t="s">
        <v>91</v>
      </c>
      <c r="K270" s="12">
        <v>20</v>
      </c>
      <c r="L270" s="12">
        <v>3</v>
      </c>
      <c r="M270" s="12">
        <v>62</v>
      </c>
    </row>
    <row r="271" spans="1:13" ht="16.5" hidden="1" customHeight="1">
      <c r="A271" s="1">
        <v>3500</v>
      </c>
      <c r="B271" s="1" t="s">
        <v>351</v>
      </c>
      <c r="C271" s="1" t="s">
        <v>55</v>
      </c>
      <c r="D271" s="3">
        <v>45617</v>
      </c>
      <c r="E271" s="1" t="s">
        <v>91</v>
      </c>
      <c r="F271" s="12">
        <v>10</v>
      </c>
      <c r="G271" s="1" t="s">
        <v>60</v>
      </c>
      <c r="H271" s="1" t="s">
        <v>93</v>
      </c>
      <c r="I271" s="12" t="s">
        <v>94</v>
      </c>
      <c r="J271" s="1" t="s">
        <v>91</v>
      </c>
      <c r="K271" s="12">
        <v>20</v>
      </c>
      <c r="L271" s="12">
        <v>15</v>
      </c>
      <c r="M271" s="12">
        <v>15</v>
      </c>
    </row>
    <row r="272" spans="1:13" ht="16.5" hidden="1" customHeight="1">
      <c r="A272" s="1">
        <v>3501</v>
      </c>
      <c r="B272" s="1" t="s">
        <v>352</v>
      </c>
      <c r="C272" s="1" t="s">
        <v>51</v>
      </c>
      <c r="D272" s="3">
        <v>45618</v>
      </c>
      <c r="E272" s="1" t="s">
        <v>93</v>
      </c>
      <c r="F272" s="12">
        <v>5</v>
      </c>
      <c r="G272" s="1" t="s">
        <v>52</v>
      </c>
      <c r="H272" s="1" t="s">
        <v>93</v>
      </c>
      <c r="I272" s="12" t="s">
        <v>94</v>
      </c>
      <c r="J272" s="1" t="s">
        <v>93</v>
      </c>
      <c r="K272" s="12">
        <v>0</v>
      </c>
      <c r="L272" s="12">
        <v>1</v>
      </c>
      <c r="M272" s="12">
        <v>4</v>
      </c>
    </row>
    <row r="273" spans="1:13" ht="16.5" customHeight="1">
      <c r="A273" s="1">
        <v>3502</v>
      </c>
      <c r="B273" s="1" t="s">
        <v>353</v>
      </c>
      <c r="C273" s="1" t="s">
        <v>59</v>
      </c>
      <c r="D273" s="3">
        <v>45619</v>
      </c>
      <c r="E273" s="1" t="s">
        <v>91</v>
      </c>
      <c r="F273" s="12">
        <v>15</v>
      </c>
      <c r="G273" s="1" t="s">
        <v>56</v>
      </c>
      <c r="H273" s="1" t="s">
        <v>91</v>
      </c>
      <c r="I273" s="12">
        <v>30</v>
      </c>
      <c r="J273" s="1" t="s">
        <v>91</v>
      </c>
      <c r="K273" s="12">
        <v>20</v>
      </c>
      <c r="L273" s="12">
        <v>7</v>
      </c>
      <c r="M273" s="12">
        <v>58</v>
      </c>
    </row>
    <row r="274" spans="1:13" ht="16.5" hidden="1" customHeight="1">
      <c r="A274" s="1">
        <v>3503</v>
      </c>
      <c r="B274" s="1" t="s">
        <v>212</v>
      </c>
      <c r="C274" s="1" t="s">
        <v>55</v>
      </c>
      <c r="D274" s="3">
        <v>45620</v>
      </c>
      <c r="E274" s="1" t="s">
        <v>93</v>
      </c>
      <c r="F274" s="12">
        <v>10</v>
      </c>
      <c r="G274" s="1" t="s">
        <v>52</v>
      </c>
      <c r="H274" s="1" t="s">
        <v>93</v>
      </c>
      <c r="I274" s="12" t="s">
        <v>94</v>
      </c>
      <c r="J274" s="1" t="s">
        <v>91</v>
      </c>
      <c r="K274" s="12">
        <v>20</v>
      </c>
      <c r="L274" s="12">
        <v>10</v>
      </c>
      <c r="M274" s="12">
        <v>20</v>
      </c>
    </row>
    <row r="275" spans="1:13" ht="16.5" hidden="1" customHeight="1">
      <c r="A275" s="1">
        <v>3504</v>
      </c>
      <c r="B275" s="1" t="s">
        <v>354</v>
      </c>
      <c r="C275" s="1" t="s">
        <v>51</v>
      </c>
      <c r="D275" s="3">
        <v>45621</v>
      </c>
      <c r="E275" s="1" t="s">
        <v>91</v>
      </c>
      <c r="F275" s="12">
        <v>5</v>
      </c>
      <c r="G275" s="1" t="s">
        <v>60</v>
      </c>
      <c r="H275" s="1" t="s">
        <v>93</v>
      </c>
      <c r="I275" s="12" t="s">
        <v>94</v>
      </c>
      <c r="J275" s="1" t="s">
        <v>93</v>
      </c>
      <c r="K275" s="12">
        <v>0</v>
      </c>
      <c r="L275" s="12">
        <v>0</v>
      </c>
      <c r="M275" s="12">
        <v>5</v>
      </c>
    </row>
    <row r="276" spans="1:13" ht="16.5" customHeight="1">
      <c r="A276" s="1">
        <v>3505</v>
      </c>
      <c r="B276" s="1" t="s">
        <v>355</v>
      </c>
      <c r="C276" s="1" t="s">
        <v>59</v>
      </c>
      <c r="D276" s="3">
        <v>45622</v>
      </c>
      <c r="E276" s="1" t="s">
        <v>93</v>
      </c>
      <c r="F276" s="12">
        <v>15</v>
      </c>
      <c r="G276" s="1" t="s">
        <v>52</v>
      </c>
      <c r="H276" s="1" t="s">
        <v>91</v>
      </c>
      <c r="I276" s="12">
        <v>30</v>
      </c>
      <c r="J276" s="1" t="s">
        <v>91</v>
      </c>
      <c r="K276" s="12">
        <v>20</v>
      </c>
      <c r="L276" s="12">
        <v>20</v>
      </c>
      <c r="M276" s="12">
        <v>45</v>
      </c>
    </row>
    <row r="277" spans="1:13" ht="16.5" hidden="1" customHeight="1">
      <c r="A277" s="1">
        <v>3506</v>
      </c>
      <c r="B277" s="1" t="s">
        <v>356</v>
      </c>
      <c r="C277" s="1" t="s">
        <v>55</v>
      </c>
      <c r="D277" s="3">
        <v>45623</v>
      </c>
      <c r="E277" s="1" t="s">
        <v>91</v>
      </c>
      <c r="F277" s="12">
        <v>10</v>
      </c>
      <c r="G277" s="1" t="s">
        <v>56</v>
      </c>
      <c r="H277" s="1" t="s">
        <v>93</v>
      </c>
      <c r="I277" s="12" t="s">
        <v>94</v>
      </c>
      <c r="J277" s="1" t="s">
        <v>91</v>
      </c>
      <c r="K277" s="12">
        <v>20</v>
      </c>
      <c r="L277" s="12">
        <v>15</v>
      </c>
      <c r="M277" s="12">
        <v>15</v>
      </c>
    </row>
    <row r="278" spans="1:13" ht="16.5" hidden="1" customHeight="1">
      <c r="A278" s="1">
        <v>3507</v>
      </c>
      <c r="B278" s="1" t="s">
        <v>357</v>
      </c>
      <c r="C278" s="1" t="s">
        <v>51</v>
      </c>
      <c r="D278" s="3">
        <v>45624</v>
      </c>
      <c r="E278" s="1" t="s">
        <v>93</v>
      </c>
      <c r="F278" s="12">
        <v>5</v>
      </c>
      <c r="G278" s="1" t="s">
        <v>52</v>
      </c>
      <c r="H278" s="1" t="s">
        <v>93</v>
      </c>
      <c r="I278" s="12" t="s">
        <v>94</v>
      </c>
      <c r="J278" s="1" t="s">
        <v>93</v>
      </c>
      <c r="K278" s="12">
        <v>0</v>
      </c>
      <c r="L278" s="12">
        <v>1</v>
      </c>
      <c r="M278" s="12">
        <v>4</v>
      </c>
    </row>
    <row r="279" spans="1:13" ht="16.5" customHeight="1">
      <c r="A279" s="1">
        <v>3508</v>
      </c>
      <c r="B279" s="1" t="s">
        <v>358</v>
      </c>
      <c r="C279" s="1" t="s">
        <v>59</v>
      </c>
      <c r="D279" s="3">
        <v>45625</v>
      </c>
      <c r="E279" s="1" t="s">
        <v>91</v>
      </c>
      <c r="F279" s="12">
        <v>15</v>
      </c>
      <c r="G279" s="1" t="s">
        <v>60</v>
      </c>
      <c r="H279" s="1" t="s">
        <v>91</v>
      </c>
      <c r="I279" s="12">
        <v>30</v>
      </c>
      <c r="J279" s="1" t="s">
        <v>91</v>
      </c>
      <c r="K279" s="12">
        <v>20</v>
      </c>
      <c r="L279" s="12">
        <v>3</v>
      </c>
      <c r="M279" s="12">
        <v>62</v>
      </c>
    </row>
    <row r="280" spans="1:13" ht="16.5" hidden="1" customHeight="1">
      <c r="A280" s="1">
        <v>3509</v>
      </c>
      <c r="B280" s="1" t="s">
        <v>359</v>
      </c>
      <c r="C280" s="1" t="s">
        <v>55</v>
      </c>
      <c r="D280" s="3">
        <v>45626</v>
      </c>
      <c r="E280" s="1" t="s">
        <v>93</v>
      </c>
      <c r="F280" s="12">
        <v>10</v>
      </c>
      <c r="G280" s="1" t="s">
        <v>52</v>
      </c>
      <c r="H280" s="1" t="s">
        <v>93</v>
      </c>
      <c r="I280" s="12" t="s">
        <v>94</v>
      </c>
      <c r="J280" s="1" t="s">
        <v>91</v>
      </c>
      <c r="K280" s="12">
        <v>20</v>
      </c>
      <c r="L280" s="12">
        <v>10</v>
      </c>
      <c r="M280" s="12">
        <v>20</v>
      </c>
    </row>
    <row r="281" spans="1:13" ht="16.5" hidden="1" customHeight="1">
      <c r="A281" s="1">
        <v>3510</v>
      </c>
      <c r="B281" s="1" t="s">
        <v>360</v>
      </c>
      <c r="C281" s="1" t="s">
        <v>51</v>
      </c>
      <c r="D281" s="3">
        <v>45627</v>
      </c>
      <c r="E281" s="1" t="s">
        <v>91</v>
      </c>
      <c r="F281" s="12">
        <v>5</v>
      </c>
      <c r="G281" s="1" t="s">
        <v>56</v>
      </c>
      <c r="H281" s="1" t="s">
        <v>93</v>
      </c>
      <c r="I281" s="12" t="s">
        <v>94</v>
      </c>
      <c r="J281" s="1" t="s">
        <v>93</v>
      </c>
      <c r="K281" s="12">
        <v>0</v>
      </c>
      <c r="L281" s="12">
        <v>0</v>
      </c>
      <c r="M281" s="12">
        <v>5</v>
      </c>
    </row>
    <row r="282" spans="1:13" ht="16.5" customHeight="1">
      <c r="A282" s="1">
        <v>3511</v>
      </c>
      <c r="B282" s="1" t="s">
        <v>361</v>
      </c>
      <c r="C282" s="1" t="s">
        <v>59</v>
      </c>
      <c r="D282" s="3">
        <v>45628</v>
      </c>
      <c r="E282" s="1" t="s">
        <v>93</v>
      </c>
      <c r="F282" s="12">
        <v>15</v>
      </c>
      <c r="G282" s="1" t="s">
        <v>52</v>
      </c>
      <c r="H282" s="1" t="s">
        <v>91</v>
      </c>
      <c r="I282" s="12">
        <v>30</v>
      </c>
      <c r="J282" s="1" t="s">
        <v>91</v>
      </c>
      <c r="K282" s="12">
        <v>20</v>
      </c>
      <c r="L282" s="12">
        <v>15</v>
      </c>
      <c r="M282" s="12">
        <v>50</v>
      </c>
    </row>
    <row r="283" spans="1:13" ht="16.5" hidden="1" customHeight="1">
      <c r="A283" s="1">
        <v>3512</v>
      </c>
      <c r="B283" s="1" t="s">
        <v>362</v>
      </c>
      <c r="C283" s="1" t="s">
        <v>55</v>
      </c>
      <c r="D283" s="3">
        <v>45629</v>
      </c>
      <c r="E283" s="1" t="s">
        <v>91</v>
      </c>
      <c r="F283" s="12">
        <v>10</v>
      </c>
      <c r="G283" s="1" t="s">
        <v>60</v>
      </c>
      <c r="H283" s="1" t="s">
        <v>93</v>
      </c>
      <c r="I283" s="12" t="s">
        <v>94</v>
      </c>
      <c r="J283" s="1" t="s">
        <v>91</v>
      </c>
      <c r="K283" s="12">
        <v>20</v>
      </c>
      <c r="L283" s="12">
        <v>15</v>
      </c>
      <c r="M283" s="12">
        <v>15</v>
      </c>
    </row>
    <row r="284" spans="1:13" ht="16.5" hidden="1" customHeight="1">
      <c r="A284" s="1">
        <v>3513</v>
      </c>
      <c r="B284" s="1" t="s">
        <v>363</v>
      </c>
      <c r="C284" s="1" t="s">
        <v>51</v>
      </c>
      <c r="D284" s="3">
        <v>45630</v>
      </c>
      <c r="E284" s="1" t="s">
        <v>93</v>
      </c>
      <c r="F284" s="12">
        <v>5</v>
      </c>
      <c r="G284" s="1" t="s">
        <v>52</v>
      </c>
      <c r="H284" s="1" t="s">
        <v>93</v>
      </c>
      <c r="I284" s="12" t="s">
        <v>94</v>
      </c>
      <c r="J284" s="1" t="s">
        <v>93</v>
      </c>
      <c r="K284" s="12">
        <v>0</v>
      </c>
      <c r="L284" s="12">
        <v>1</v>
      </c>
      <c r="M284" s="12">
        <v>4</v>
      </c>
    </row>
    <row r="285" spans="1:13" ht="16.5" customHeight="1">
      <c r="A285" s="1">
        <v>3514</v>
      </c>
      <c r="B285" s="1" t="s">
        <v>364</v>
      </c>
      <c r="C285" s="1" t="s">
        <v>59</v>
      </c>
      <c r="D285" s="3">
        <v>45631</v>
      </c>
      <c r="E285" s="1" t="s">
        <v>91</v>
      </c>
      <c r="F285" s="12">
        <v>15</v>
      </c>
      <c r="G285" s="1" t="s">
        <v>56</v>
      </c>
      <c r="H285" s="1" t="s">
        <v>91</v>
      </c>
      <c r="I285" s="12">
        <v>30</v>
      </c>
      <c r="J285" s="1" t="s">
        <v>91</v>
      </c>
      <c r="K285" s="12">
        <v>20</v>
      </c>
      <c r="L285" s="12">
        <v>7</v>
      </c>
      <c r="M285" s="12">
        <v>58</v>
      </c>
    </row>
    <row r="286" spans="1:13" ht="16.5" hidden="1" customHeight="1">
      <c r="A286" s="1">
        <v>3515</v>
      </c>
      <c r="B286" s="1" t="s">
        <v>223</v>
      </c>
      <c r="C286" s="1" t="s">
        <v>55</v>
      </c>
      <c r="D286" s="3">
        <v>45632</v>
      </c>
      <c r="E286" s="1" t="s">
        <v>93</v>
      </c>
      <c r="F286" s="12">
        <v>10</v>
      </c>
      <c r="G286" s="1" t="s">
        <v>52</v>
      </c>
      <c r="H286" s="1" t="s">
        <v>93</v>
      </c>
      <c r="I286" s="12" t="s">
        <v>94</v>
      </c>
      <c r="J286" s="1" t="s">
        <v>91</v>
      </c>
      <c r="K286" s="12">
        <v>20</v>
      </c>
      <c r="L286" s="12">
        <v>10</v>
      </c>
      <c r="M286" s="12">
        <v>20</v>
      </c>
    </row>
    <row r="287" spans="1:13" ht="16.5" hidden="1" customHeight="1">
      <c r="A287" s="1">
        <v>3516</v>
      </c>
      <c r="B287" s="1" t="s">
        <v>224</v>
      </c>
      <c r="C287" s="1" t="s">
        <v>51</v>
      </c>
      <c r="D287" s="3">
        <v>45633</v>
      </c>
      <c r="E287" s="1" t="s">
        <v>91</v>
      </c>
      <c r="F287" s="12">
        <v>5</v>
      </c>
      <c r="G287" s="1" t="s">
        <v>60</v>
      </c>
      <c r="H287" s="1" t="s">
        <v>93</v>
      </c>
      <c r="I287" s="12" t="s">
        <v>94</v>
      </c>
      <c r="J287" s="1" t="s">
        <v>93</v>
      </c>
      <c r="K287" s="12">
        <v>0</v>
      </c>
      <c r="L287" s="12">
        <v>0</v>
      </c>
      <c r="M287" s="12">
        <v>5</v>
      </c>
    </row>
    <row r="288" spans="1:13" ht="16.5" customHeight="1">
      <c r="A288" s="1">
        <v>3517</v>
      </c>
      <c r="B288" s="1" t="s">
        <v>274</v>
      </c>
      <c r="C288" s="1" t="s">
        <v>59</v>
      </c>
      <c r="D288" s="3">
        <v>45634</v>
      </c>
      <c r="E288" s="1" t="s">
        <v>93</v>
      </c>
      <c r="F288" s="12">
        <v>15</v>
      </c>
      <c r="G288" s="1" t="s">
        <v>52</v>
      </c>
      <c r="H288" s="1" t="s">
        <v>91</v>
      </c>
      <c r="I288" s="12">
        <v>30</v>
      </c>
      <c r="J288" s="1" t="s">
        <v>91</v>
      </c>
      <c r="K288" s="12">
        <v>20</v>
      </c>
      <c r="L288" s="12">
        <v>20</v>
      </c>
      <c r="M288" s="12">
        <v>45</v>
      </c>
    </row>
    <row r="289" spans="1:13" ht="16.5" hidden="1" customHeight="1">
      <c r="A289" s="1">
        <v>3518</v>
      </c>
      <c r="B289" s="1" t="s">
        <v>365</v>
      </c>
      <c r="C289" s="1" t="s">
        <v>55</v>
      </c>
      <c r="D289" s="3">
        <v>45635</v>
      </c>
      <c r="E289" s="1" t="s">
        <v>91</v>
      </c>
      <c r="F289" s="12">
        <v>10</v>
      </c>
      <c r="G289" s="1" t="s">
        <v>56</v>
      </c>
      <c r="H289" s="1" t="s">
        <v>93</v>
      </c>
      <c r="I289" s="12" t="s">
        <v>94</v>
      </c>
      <c r="J289" s="1" t="s">
        <v>91</v>
      </c>
      <c r="K289" s="12">
        <v>20</v>
      </c>
      <c r="L289" s="12">
        <v>12</v>
      </c>
      <c r="M289" s="12">
        <v>18</v>
      </c>
    </row>
    <row r="290" spans="1:13" ht="16.5" hidden="1" customHeight="1">
      <c r="A290" s="1">
        <v>3519</v>
      </c>
      <c r="B290" s="1" t="s">
        <v>366</v>
      </c>
      <c r="C290" s="1" t="s">
        <v>51</v>
      </c>
      <c r="D290" s="3">
        <v>45636</v>
      </c>
      <c r="E290" s="1" t="s">
        <v>93</v>
      </c>
      <c r="F290" s="12">
        <v>5</v>
      </c>
      <c r="G290" s="1" t="s">
        <v>52</v>
      </c>
      <c r="H290" s="1" t="s">
        <v>93</v>
      </c>
      <c r="I290" s="12" t="s">
        <v>94</v>
      </c>
      <c r="J290" s="1" t="s">
        <v>93</v>
      </c>
      <c r="K290" s="12">
        <v>0</v>
      </c>
      <c r="L290" s="12">
        <v>2</v>
      </c>
      <c r="M290" s="12">
        <v>3</v>
      </c>
    </row>
    <row r="291" spans="1:13" ht="16.5" customHeight="1">
      <c r="A291" s="1">
        <v>3520</v>
      </c>
      <c r="B291" s="1" t="s">
        <v>367</v>
      </c>
      <c r="C291" s="1" t="s">
        <v>59</v>
      </c>
      <c r="D291" s="3">
        <v>45637</v>
      </c>
      <c r="E291" s="1" t="s">
        <v>91</v>
      </c>
      <c r="F291" s="12">
        <v>15</v>
      </c>
      <c r="G291" s="1" t="s">
        <v>60</v>
      </c>
      <c r="H291" s="1" t="s">
        <v>91</v>
      </c>
      <c r="I291" s="12">
        <v>30</v>
      </c>
      <c r="J291" s="1" t="s">
        <v>91</v>
      </c>
      <c r="K291" s="12">
        <v>20</v>
      </c>
      <c r="L291" s="12">
        <v>5</v>
      </c>
      <c r="M291" s="12">
        <v>60</v>
      </c>
    </row>
    <row r="292" spans="1:13" ht="16.5" hidden="1" customHeight="1">
      <c r="A292" s="1">
        <v>3521</v>
      </c>
      <c r="B292" s="1" t="s">
        <v>368</v>
      </c>
      <c r="C292" s="1" t="s">
        <v>55</v>
      </c>
      <c r="D292" s="3">
        <v>45638</v>
      </c>
      <c r="E292" s="1" t="s">
        <v>93</v>
      </c>
      <c r="F292" s="12">
        <v>10</v>
      </c>
      <c r="G292" s="1" t="s">
        <v>52</v>
      </c>
      <c r="H292" s="1" t="s">
        <v>93</v>
      </c>
      <c r="I292" s="12" t="s">
        <v>94</v>
      </c>
      <c r="J292" s="1" t="s">
        <v>91</v>
      </c>
      <c r="K292" s="12">
        <v>20</v>
      </c>
      <c r="L292" s="12">
        <v>10</v>
      </c>
      <c r="M292" s="12">
        <v>20</v>
      </c>
    </row>
    <row r="293" spans="1:13" ht="16.5" hidden="1" customHeight="1">
      <c r="A293" s="1">
        <v>3522</v>
      </c>
      <c r="B293" s="1" t="s">
        <v>369</v>
      </c>
      <c r="C293" s="1" t="s">
        <v>51</v>
      </c>
      <c r="D293" s="3">
        <v>45639</v>
      </c>
      <c r="E293" s="1" t="s">
        <v>91</v>
      </c>
      <c r="F293" s="12">
        <v>5</v>
      </c>
      <c r="G293" s="1" t="s">
        <v>56</v>
      </c>
      <c r="H293" s="1" t="s">
        <v>93</v>
      </c>
      <c r="I293" s="12" t="s">
        <v>94</v>
      </c>
      <c r="J293" s="1" t="s">
        <v>93</v>
      </c>
      <c r="K293" s="12">
        <v>0</v>
      </c>
      <c r="L293" s="12">
        <v>0</v>
      </c>
      <c r="M293" s="12">
        <v>5</v>
      </c>
    </row>
    <row r="294" spans="1:13" ht="16.5" customHeight="1">
      <c r="A294" s="1">
        <v>3523</v>
      </c>
      <c r="B294" s="1" t="s">
        <v>370</v>
      </c>
      <c r="C294" s="1" t="s">
        <v>59</v>
      </c>
      <c r="D294" s="3">
        <v>45640</v>
      </c>
      <c r="E294" s="1" t="s">
        <v>93</v>
      </c>
      <c r="F294" s="12">
        <v>15</v>
      </c>
      <c r="G294" s="1" t="s">
        <v>52</v>
      </c>
      <c r="H294" s="1" t="s">
        <v>91</v>
      </c>
      <c r="I294" s="12">
        <v>30</v>
      </c>
      <c r="J294" s="1" t="s">
        <v>91</v>
      </c>
      <c r="K294" s="12">
        <v>20</v>
      </c>
      <c r="L294" s="12">
        <v>3</v>
      </c>
      <c r="M294" s="12">
        <v>62</v>
      </c>
    </row>
    <row r="295" spans="1:13" ht="16.5" hidden="1" customHeight="1">
      <c r="A295" s="1">
        <v>3524</v>
      </c>
      <c r="B295" s="1" t="s">
        <v>371</v>
      </c>
      <c r="C295" s="1" t="s">
        <v>55</v>
      </c>
      <c r="D295" s="3">
        <v>45641</v>
      </c>
      <c r="E295" s="1" t="s">
        <v>91</v>
      </c>
      <c r="F295" s="12">
        <v>10</v>
      </c>
      <c r="G295" s="1" t="s">
        <v>60</v>
      </c>
      <c r="H295" s="1" t="s">
        <v>93</v>
      </c>
      <c r="I295" s="12" t="s">
        <v>94</v>
      </c>
      <c r="J295" s="1" t="s">
        <v>91</v>
      </c>
      <c r="K295" s="12">
        <v>20</v>
      </c>
      <c r="L295" s="12">
        <v>15</v>
      </c>
      <c r="M295" s="12">
        <v>15</v>
      </c>
    </row>
    <row r="296" spans="1:13" ht="16.5" hidden="1" customHeight="1">
      <c r="A296" s="1">
        <v>3525</v>
      </c>
      <c r="B296" s="1" t="s">
        <v>372</v>
      </c>
      <c r="C296" s="1" t="s">
        <v>51</v>
      </c>
      <c r="D296" s="3">
        <v>45642</v>
      </c>
      <c r="E296" s="1" t="s">
        <v>93</v>
      </c>
      <c r="F296" s="12">
        <v>5</v>
      </c>
      <c r="G296" s="1" t="s">
        <v>52</v>
      </c>
      <c r="H296" s="1" t="s">
        <v>93</v>
      </c>
      <c r="I296" s="12" t="s">
        <v>94</v>
      </c>
      <c r="J296" s="1" t="s">
        <v>93</v>
      </c>
      <c r="K296" s="12">
        <v>0</v>
      </c>
      <c r="L296" s="12">
        <v>1</v>
      </c>
      <c r="M296" s="12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2026-10-13T19:25:50Z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